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ichitra\Desktop\SHOBANA\Project\Healthcare Emergency Project - Excel - By Shobana\"/>
    </mc:Choice>
  </mc:AlternateContent>
  <xr:revisionPtr revIDLastSave="0" documentId="13_ncr:1_{E66F6906-6856-4B98-82CC-15FFE81E0F50}" xr6:coauthVersionLast="47" xr6:coauthVersionMax="47" xr10:uidLastSave="{00000000-0000-0000-0000-000000000000}"/>
  <bookViews>
    <workbookView xWindow="-108" yWindow="-108" windowWidth="23256" windowHeight="12456" activeTab="1" xr2:uid="{64FAC685-FC27-472E-B63C-BE211CE9FC61}"/>
  </bookViews>
  <sheets>
    <sheet name="Pivot report" sheetId="1" r:id="rId1"/>
    <sheet name="Dashboard" sheetId="3" r:id="rId2"/>
    <sheet name="Daily ER No of patient" sheetId="4" r:id="rId3"/>
    <sheet name="Average wait time daily trend" sheetId="6" r:id="rId4"/>
    <sheet name="Satisfaction score daily trends" sheetId="8" r:id="rId5"/>
  </sheets>
  <definedNames>
    <definedName name="Slicer_Date__Month">#N/A</definedName>
    <definedName name="Slicer_Date__Year">#N/A</definedName>
  </definedNames>
  <calcPr calcId="191029"/>
  <pivotCaches>
    <pivotCache cacheId="555" r:id="rId6"/>
    <pivotCache cacheId="558" r:id="rId7"/>
    <pivotCache cacheId="561" r:id="rId8"/>
    <pivotCache cacheId="564" r:id="rId9"/>
    <pivotCache cacheId="567" r:id="rId10"/>
    <pivotCache cacheId="570" r:id="rId11"/>
    <pivotCache cacheId="573" r:id="rId12"/>
    <pivotCache cacheId="576" r:id="rId13"/>
    <pivotCache cacheId="579" r:id="rId14"/>
    <pivotCache cacheId="582" r:id="rId15"/>
    <pivotCache cacheId="585" r:id="rId16"/>
    <pivotCache cacheId="58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75c39ed-8c9b-48cb-9bb6-2610117eed3b" name="Hospital Emergency Room Data" connection="Query - Hospital Emergency Room Data"/>
          <x15:modelTable id="Calendar_Table_eda8a873-4905-47e4-af85-9b4062f9b614"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46" i="1" l="1"/>
  <c r="B46" i="1"/>
  <c r="C46" i="1"/>
  <c r="B47" i="1"/>
  <c r="C47"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03ABED-F23C-4FB2-86B9-38CB393BE0EF}" name="Query - Calendar_Table" description="Connection to the 'Calendar_Table' query in the workbook." type="100" refreshedVersion="8" minRefreshableVersion="5">
    <extLst>
      <ext xmlns:x15="http://schemas.microsoft.com/office/spreadsheetml/2010/11/main" uri="{DE250136-89BD-433C-8126-D09CA5730AF9}">
        <x15:connection id="234d19f0-1945-4cc4-bdbe-11f795fd5747"/>
      </ext>
    </extLst>
  </connection>
  <connection id="2" xr16:uid="{6DFB0706-E160-43D4-8F11-2A22CE75DDF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aefe4c9-57dc-49e3-9ee5-e777b918d9f2">
          <x15:oledbPr connection="Provider=Microsoft.Mashup.OleDb.1;Data Source=$Workbook$;Location=&quot;Hospital Emergency Room Data&quot;;Extended Properties=&quot;&quot;">
            <x15:dbTables>
              <x15:dbTable name="Hospital Emergency Room Data"/>
            </x15:dbTables>
          </x15:oledbPr>
        </x15:connection>
      </ext>
    </extLst>
  </connection>
  <connection id="3" xr16:uid="{212DE324-9894-48CE-8844-9EBE1ADC86B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<sst xmlns="http://schemas.openxmlformats.org/spreadsheetml/2006/main" count="153" uniqueCount="77">
  <si>
    <t>Distinct Count of Patient Id</t>
  </si>
  <si>
    <t>No. of patient</t>
  </si>
  <si>
    <t>Average of Patient Waittime</t>
  </si>
  <si>
    <t>Average of Patient Satisfaction Score</t>
  </si>
  <si>
    <t>Row Labels</t>
  </si>
  <si>
    <t>Grand Total</t>
  </si>
  <si>
    <t>daily trends of no of patient</t>
  </si>
  <si>
    <t>average wait time</t>
  </si>
  <si>
    <t>Showing a daily trend with an area chart to spot patterns like busy or seasonal trends.</t>
  </si>
  <si>
    <t>Use an area chart to track daily changes and highlight days with longer wait times that might need improvements</t>
  </si>
  <si>
    <t>Dashboard!A1</t>
  </si>
  <si>
    <t>Satisfaction score daily trend</t>
  </si>
  <si>
    <t>Use are chart to show trends, spot drops in satisfaction, and link them busy times. or challenges</t>
  </si>
  <si>
    <t>Count of Patient Admission Flag</t>
  </si>
  <si>
    <t>Admitted</t>
  </si>
  <si>
    <t>Not admitted</t>
  </si>
  <si>
    <t>Count of Patient Admission Flag2</t>
  </si>
  <si>
    <t>Admission Status</t>
  </si>
  <si>
    <t>No. of Patient</t>
  </si>
  <si>
    <t>% Status</t>
  </si>
  <si>
    <t>0-09</t>
  </si>
  <si>
    <t>10 -19</t>
  </si>
  <si>
    <t>20 -29</t>
  </si>
  <si>
    <t>30 -39</t>
  </si>
  <si>
    <t>40 -49</t>
  </si>
  <si>
    <t>50 -59</t>
  </si>
  <si>
    <t>60 -69</t>
  </si>
  <si>
    <t>70 -79</t>
  </si>
  <si>
    <t>Count of Age Group</t>
  </si>
  <si>
    <t>age group by analyiss</t>
  </si>
  <si>
    <t>Ontime</t>
  </si>
  <si>
    <t>Delay</t>
  </si>
  <si>
    <t>Count of Patient Attend Status</t>
  </si>
  <si>
    <t>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</si>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</sst>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3">
    <xf numFmtId="0" fontId="0" fillId="0" borderId="0"/>
    <xf numFmtId="0" fontId="1" fillId="0" borderId="0" applyNumberFormat="0" applyFill="0" applyBorder="0" applyAlignment="0" applyProtection="0"/>
    <xf numFmtId="9" fontId="3"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1"/>
    <xf numFmtId="0" fontId="2" fillId="3" borderId="1" xfId="0" applyFont="1" applyFill="1" applyBorder="1"/>
    <xf numFmtId="10" fontId="0" fillId="0" borderId="0" xfId="0" applyNumberFormat="1"/>
    <xf numFmtId="0" fontId="4" fillId="4" borderId="0" xfId="0" applyFont="1" applyFill="1" applyAlignment="1">
      <alignment horizontal="left"/>
    </xf>
    <xf numFmtId="0" fontId="4" fillId="4" borderId="0" xfId="0" applyFont="1" applyFill="1"/>
    <xf numFmtId="0" fontId="0" fillId="5" borderId="0" xfId="0" applyFill="1"/>
    <xf numFmtId="0" fontId="5" fillId="5" borderId="0" xfId="0" applyFont="1" applyFill="1" applyAlignment="1">
      <alignment horizontal="center"/>
    </xf>
    <xf numFmtId="9" fontId="5" fillId="5" borderId="0" xfId="2" applyFont="1" applyFill="1" applyAlignment="1">
      <alignment horizontal="center"/>
    </xf>
    <xf numFmtId="1" fontId="0" fillId="0" borderId="0" xfId="0" applyNumberFormat="1"/>
    <xf numFmtId="0" fontId="0" fillId="0" borderId="0" xfId="0" applyAlignment="1">
      <alignment horizontal="center"/>
    </xf>
    <xf numFmtId="0" fontId="0" fillId="0" borderId="0" xfId="0" applyNumberFormat="1"/>
  </cellXfs>
  <cellStyles count="3">
    <cellStyle name="Hyperlink" xfId="1" builtinId="8"/>
    <cellStyle name="Normal" xfId="0" builtinId="0"/>
    <cellStyle name="Percent" xfId="2" builtinId="5"/>
  </cellStyles>
  <dxfs count="228">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b/>
        <i val="0"/>
        <sz val="14"/>
        <color theme="1"/>
        <name val="Aptos Narrow"/>
        <family val="2"/>
        <scheme val="none"/>
      </font>
      <fill>
        <patternFill patternType="solid">
          <fgColor theme="1"/>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b/>
        <i val="0"/>
        <sz val="14"/>
        <color theme="1"/>
        <name val="Aptos Narrow"/>
        <family val="2"/>
        <scheme val="none"/>
      </font>
      <fill>
        <gradientFill degree="90">
          <stop position="0">
            <color rgb="FF002060"/>
          </stop>
          <stop position="1">
            <color theme="5"/>
          </stop>
        </gradientFill>
      </fill>
      <border>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font>
        <b/>
        <color theme="1"/>
      </font>
      <border>
        <bottom style="thin">
          <color theme="9"/>
        </bottom>
        <vertical/>
        <horizontal/>
      </border>
    </dxf>
    <dxf>
      <font>
        <b/>
        <i val="0"/>
        <sz val="14"/>
        <color theme="1"/>
        <name val="Aptos Narrow"/>
        <family val="2"/>
        <scheme val="none"/>
      </font>
      <fill>
        <patternFill>
          <fgColor theme="9"/>
          <bgColor theme="9"/>
        </patternFill>
      </fill>
      <border>
        <left style="thin">
          <color theme="9" tint="0.39994506668294322"/>
        </left>
        <right style="thin">
          <color theme="9" tint="0.39994506668294322"/>
        </right>
        <top style="thin">
          <color theme="9" tint="0.39994506668294322"/>
        </top>
        <bottom style="thin">
          <color theme="9" tint="0.39994506668294322"/>
        </bottom>
        <vertical style="thin">
          <color theme="9" tint="0.39994506668294322"/>
        </vertical>
        <horizontal style="thin">
          <color theme="9" tint="0.39994506668294322"/>
        </horizontal>
      </border>
    </dxf>
    <dxf>
      <font>
        <b/>
        <color theme="1"/>
      </font>
      <border>
        <bottom style="thin">
          <color theme="4"/>
        </bottom>
        <vertical/>
        <horizontal/>
      </border>
    </dxf>
    <dxf>
      <font>
        <b/>
        <i val="0"/>
        <sz val="14"/>
        <color theme="1"/>
        <name val="Aptos Narrow"/>
        <family val="2"/>
        <scheme val="none"/>
      </font>
      <fill>
        <patternFill patternType="solid">
          <fgColor theme="9" tint="-0.24994659260841701"/>
          <bgColor theme="8"/>
        </patternFill>
      </fill>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b/>
        <i val="0"/>
        <sz val="14"/>
        <color theme="1"/>
        <name val="Aptos Narrow"/>
        <family val="2"/>
        <scheme val="none"/>
      </font>
      <fill>
        <patternFill patternType="darkGray">
          <fgColor theme="9"/>
          <bgColor theme="9"/>
        </patternFill>
      </fill>
      <border diagonalUp="0" diagonalDown="0">
        <left style="thin">
          <color theme="9" tint="0.39991454817346722"/>
        </left>
        <right style="thin">
          <color theme="9" tint="0.39991454817346722"/>
        </right>
        <top style="thin">
          <color theme="9" tint="0.39991454817346722"/>
        </top>
        <bottom style="thin">
          <color theme="9" tint="0.39991454817346722"/>
        </bottom>
        <vertical/>
        <horizontal/>
      </border>
    </dxf>
    <dxf>
      <font>
        <b/>
        <color theme="1"/>
      </font>
      <border>
        <bottom style="thin">
          <color theme="4"/>
        </bottom>
        <vertical/>
        <horizontal/>
      </border>
    </dxf>
    <dxf>
      <font>
        <b/>
        <i val="0"/>
        <strike val="0"/>
        <sz val="14"/>
        <color theme="1"/>
        <name val="Aptos Narrow"/>
        <family val="2"/>
        <scheme val="none"/>
      </font>
      <fill>
        <patternFill patternType="darkGray">
          <fgColor theme="1"/>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Aptos Narrow"/>
        <family val="2"/>
        <scheme val="none"/>
      </font>
      <fill>
        <patternFill patternType="solid">
          <fgColor theme="1"/>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name val="Aptos Narrow"/>
        <family val="2"/>
        <scheme val="none"/>
      </font>
      <fill>
        <patternFill patternType="solid">
          <fgColor theme="1"/>
          <bgColor theme="9"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1"/>
        <name val="Aptos Narrow"/>
        <family val="2"/>
        <scheme val="none"/>
      </font>
      <fill>
        <patternFill patternType="solid">
          <fgColor theme="1"/>
          <bgColor theme="9"/>
        </patternFill>
      </fill>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b/>
        <i val="0"/>
        <sz val="14"/>
        <color theme="1"/>
        <name val="Aptos Narrow"/>
        <family val="2"/>
        <scheme val="none"/>
      </font>
      <fill>
        <patternFill patternType="darkGray">
          <fgColor theme="9"/>
          <bgColor theme="9"/>
        </patternFill>
      </fill>
      <border diagonalUp="0" diagonalDown="0">
        <left/>
        <right/>
        <top/>
        <bottom/>
        <vertical/>
        <horizontal/>
      </border>
    </dxf>
    <dxf>
      <font>
        <b/>
        <color theme="1"/>
      </font>
      <border>
        <bottom style="thin">
          <color theme="9"/>
        </bottom>
        <vertical/>
        <horizontal/>
      </border>
    </dxf>
    <dxf>
      <font>
        <b/>
        <i val="0"/>
        <sz val="14"/>
        <color theme="1"/>
        <name val="Aptos Narrow"/>
        <family val="2"/>
        <scheme val="none"/>
      </font>
      <fill>
        <patternFill>
          <fgColor theme="9"/>
          <bgColor theme="9"/>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b/>
        <i val="0"/>
        <sz val="14"/>
        <color theme="1"/>
        <name val="Aptos Narrow"/>
        <family val="2"/>
        <scheme val="none"/>
      </font>
      <fill>
        <patternFill>
          <fgColor theme="9"/>
          <bgColor theme="9"/>
        </patternFill>
      </fill>
      <border>
        <left style="thin">
          <color theme="9"/>
        </left>
        <right style="thin">
          <color theme="9"/>
        </right>
        <top style="thin">
          <color theme="9"/>
        </top>
        <bottom style="thin">
          <color theme="9"/>
        </bottom>
        <vertical/>
        <horizontal/>
      </border>
    </dxf>
  </dxfs>
  <tableStyles count="12" defaultTableStyle="TableStyleMedium2" defaultPivotStyle="PivotStyleLight16">
    <tableStyle name="mstyle 2" pivot="0" table="0" count="10" xr9:uid="{58823F59-66FB-4B09-95E6-CC67CAD89A7F}">
      <tableStyleElement type="wholeTable" dxfId="227"/>
      <tableStyleElement type="headerRow" dxfId="226"/>
    </tableStyle>
    <tableStyle name="mstyle 2 2" pivot="0" table="0" count="10" xr9:uid="{BEE0BF6A-31B8-4126-B3C2-17F61E8C2B89}">
      <tableStyleElement type="wholeTable" dxfId="225"/>
      <tableStyleElement type="headerRow" dxfId="224"/>
    </tableStyle>
    <tableStyle name="mstyle 2 2 2 2" pivot="0" table="0" count="10" xr9:uid="{E4B58488-C161-444C-B0D2-88169A364905}">
      <tableStyleElement type="wholeTable" dxfId="223"/>
      <tableStyleElement type="headerRow" dxfId="222"/>
    </tableStyle>
    <tableStyle name="Mystyle 2" pivot="0" table="0" count="10" xr9:uid="{7A486F45-3C9B-4B1B-8943-ECEE98F2DC38}">
      <tableStyleElement type="wholeTable" dxfId="221"/>
      <tableStyleElement type="headerRow" dxfId="220"/>
    </tableStyle>
    <tableStyle name="Mystyle 3" pivot="0" table="0" count="10" xr9:uid="{BDC02A7D-AD30-4D8E-96C2-F700A5BC4D29}">
      <tableStyleElement type="wholeTable" dxfId="219"/>
      <tableStyleElement type="headerRow" dxfId="218"/>
    </tableStyle>
    <tableStyle name="Mystyle 4" pivot="0" table="0" count="10" xr9:uid="{1E7905D1-5205-4C84-BD89-417E8B3FA1B5}">
      <tableStyleElement type="wholeTable" dxfId="217"/>
      <tableStyleElement type="headerRow" dxfId="216"/>
    </tableStyle>
    <tableStyle name="Mystyle 5" pivot="0" table="0" count="10" xr9:uid="{687A27C2-684C-46BF-ABF4-ACE3C8D4291D}">
      <tableStyleElement type="wholeTable" dxfId="215"/>
      <tableStyleElement type="headerRow" dxfId="214"/>
    </tableStyle>
    <tableStyle name="sh00" pivot="0" table="0" count="10" xr9:uid="{3FC09B14-FAB5-4A17-AAEB-F5B90F72C0CD}">
      <tableStyleElement type="wholeTable" dxfId="213"/>
      <tableStyleElement type="headerRow" dxfId="212"/>
    </tableStyle>
    <tableStyle name="shhh" pivot="0" table="0" count="10" xr9:uid="{6D316268-1D2D-4943-A983-3DA12486B053}">
      <tableStyleElement type="wholeTable" dxfId="211"/>
      <tableStyleElement type="headerRow" dxfId="210"/>
    </tableStyle>
    <tableStyle name="Sho" pivot="0" table="0" count="10" xr9:uid="{21A05D57-76A7-4318-A25D-8CC39D956057}">
      <tableStyleElement type="wholeTable" dxfId="209"/>
      <tableStyleElement type="headerRow" dxfId="208"/>
    </tableStyle>
    <tableStyle name="Sho 22" pivot="0" table="0" count="10" xr9:uid="{6C6A6865-B513-4559-9690-094CF3137477}">
      <tableStyleElement type="wholeTable" dxfId="207"/>
      <tableStyleElement type="headerRow" dxfId="206"/>
    </tableStyle>
    <tableStyle name="Shoo" pivot="0" table="0" count="10" xr9:uid="{A56E1D1E-C2F6-4965-870C-3E458781A025}">
      <tableStyleElement type="wholeTable" dxfId="205"/>
      <tableStyleElement type="headerRow" dxfId="204"/>
    </tableStyle>
  </tableStyles>
  <colors>
    <mruColors>
      <color rgb="FFF5F7FA"/>
    </mruColors>
  </colors>
  <extLst>
    <ext xmlns:x14="http://schemas.microsoft.com/office/spreadsheetml/2009/9/main" uri="{46F421CA-312F-682f-3DD2-61675219B42D}">
      <x14:dxfs count="9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style 2">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mstyle 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mstyle 2 2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Mystyle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Mystyle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Mystyle 4">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Mystyle 5">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h00">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hhh">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ho">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ho 2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ho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report!PivotTable8</c:name>
    <c:fmtId val="3"/>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507156-3E89-4787-BBE6-BE93119F9E9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F6400B-392C-4A88-B403-3357A8BABD6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507156-3E89-4787-BBE6-BE93119F9E9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00206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F6400B-392C-4A88-B403-3357A8BABD6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cmpd="sng">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cmpd="sng">
            <a:solidFill>
              <a:schemeClr val="accent1"/>
            </a:solidFill>
          </a:ln>
          <a:effectLst/>
        </c:spPr>
      </c:pivotFmt>
      <c:pivotFmt>
        <c:idx val="10"/>
        <c:spPr>
          <a:solidFill>
            <a:srgbClr val="002060"/>
          </a:solidFill>
          <a:ln cmpd="sng">
            <a:solidFill>
              <a:schemeClr val="accent1"/>
            </a:solid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64818672839506175"/>
              <c:y val="6.800925925925898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1260984267514"/>
                  <c:h val="0.27243085055909516"/>
                </c:manualLayout>
              </c15:layout>
            </c:ext>
          </c:extLst>
        </c:dLbl>
      </c:pivotFmt>
      <c:pivotFmt>
        <c:idx val="13"/>
        <c:spPr>
          <a:solidFill>
            <a:schemeClr val="accent2"/>
          </a:solidFill>
          <a:ln>
            <a:noFill/>
          </a:ln>
          <a:effectLst/>
        </c:spPr>
        <c:dLbl>
          <c:idx val="0"/>
          <c:layout>
            <c:manualLayout>
              <c:x val="0.7480195473251029"/>
              <c:y val="3.52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04989711934153"/>
                  <c:h val="0.2936287037037037"/>
                </c:manualLayout>
              </c15:layout>
            </c:ext>
          </c:extLst>
        </c:dLbl>
      </c:pivotFmt>
    </c:pivotFmts>
    <c:plotArea>
      <c:layout>
        <c:manualLayout>
          <c:layoutTarget val="inner"/>
          <c:xMode val="edge"/>
          <c:yMode val="edge"/>
          <c:x val="7.1138097532012145E-3"/>
          <c:y val="0.13859126984126985"/>
          <c:w val="0.8553638733187815"/>
          <c:h val="0.7228174603174603"/>
        </c:manualLayout>
      </c:layout>
      <c:barChart>
        <c:barDir val="bar"/>
        <c:grouping val="clustered"/>
        <c:varyColors val="0"/>
        <c:ser>
          <c:idx val="0"/>
          <c:order val="0"/>
          <c:tx>
            <c:strRef>
              <c:f>'Pivot report'!$B$39</c:f>
              <c:strCache>
                <c:ptCount val="1"/>
                <c:pt idx="0">
                  <c:v>Count of Patient Admission Flag</c:v>
                </c:pt>
              </c:strCache>
            </c:strRef>
          </c:tx>
          <c:spPr>
            <a:solidFill>
              <a:srgbClr val="002060"/>
            </a:solidFill>
            <a:ln cmpd="sng">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report'!$B$40:$B$42</c:f>
              <c:numCache>
                <c:formatCode>0.00</c:formatCode>
                <c:ptCount val="2"/>
                <c:pt idx="0">
                  <c:v>224</c:v>
                </c:pt>
                <c:pt idx="1">
                  <c:v>207</c:v>
                </c:pt>
              </c:numCache>
            </c:numRef>
          </c:val>
          <c:extLst>
            <c:ext xmlns:c16="http://schemas.microsoft.com/office/drawing/2014/chart" uri="{C3380CC4-5D6E-409C-BE32-E72D297353CC}">
              <c16:uniqueId val="{00000003-A14D-410E-BE13-AB3CF87E0E30}"/>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dPt>
          <c:dLbls>
            <c:dLbl>
              <c:idx val="0"/>
              <c:layout>
                <c:manualLayout>
                  <c:x val="0.7480195473251029"/>
                  <c:y val="3.52777777777777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504989711934153"/>
                      <c:h val="0.2936287037037037"/>
                    </c:manualLayout>
                  </c15:layout>
                </c:ext>
              </c:extLst>
            </c:dLbl>
            <c:dLbl>
              <c:idx val="1"/>
              <c:layout>
                <c:manualLayout>
                  <c:x val="0.64818672839506175"/>
                  <c:y val="6.800925925925898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1260984267514"/>
                      <c:h val="0.2724308505590951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report'!$C$40:$C$42</c:f>
              <c:numCache>
                <c:formatCode>0.00%</c:formatCode>
                <c:ptCount val="2"/>
                <c:pt idx="0">
                  <c:v>0.51972157772621808</c:v>
                </c:pt>
                <c:pt idx="1">
                  <c:v>0.48027842227378192</c:v>
                </c:pt>
              </c:numCache>
            </c:numRef>
          </c:val>
          <c:extLst>
            <c:ext xmlns:c16="http://schemas.microsoft.com/office/drawing/2014/chart" uri="{C3380CC4-5D6E-409C-BE32-E72D297353CC}">
              <c16:uniqueId val="{00000004-A14D-410E-BE13-AB3CF87E0E30}"/>
            </c:ext>
          </c:extLst>
        </c:ser>
        <c:dLbls>
          <c:dLblPos val="outEnd"/>
          <c:showLegendKey val="0"/>
          <c:showVal val="1"/>
          <c:showCatName val="0"/>
          <c:showSerName val="0"/>
          <c:showPercent val="0"/>
          <c:showBubbleSize val="0"/>
        </c:dLbls>
        <c:gapWidth val="168"/>
        <c:axId val="1402745712"/>
        <c:axId val="1402738032"/>
      </c:barChart>
      <c:catAx>
        <c:axId val="1402745712"/>
        <c:scaling>
          <c:orientation val="minMax"/>
        </c:scaling>
        <c:delete val="1"/>
        <c:axPos val="l"/>
        <c:numFmt formatCode="General" sourceLinked="1"/>
        <c:majorTickMark val="out"/>
        <c:minorTickMark val="none"/>
        <c:tickLblPos val="nextTo"/>
        <c:crossAx val="1402738032"/>
        <c:crosses val="autoZero"/>
        <c:auto val="1"/>
        <c:lblAlgn val="ctr"/>
        <c:lblOffset val="100"/>
        <c:noMultiLvlLbl val="0"/>
      </c:catAx>
      <c:valAx>
        <c:axId val="1402738032"/>
        <c:scaling>
          <c:orientation val="minMax"/>
        </c:scaling>
        <c:delete val="1"/>
        <c:axPos val="b"/>
        <c:numFmt formatCode="0.00" sourceLinked="1"/>
        <c:majorTickMark val="none"/>
        <c:minorTickMark val="none"/>
        <c:tickLblPos val="nextTo"/>
        <c:crossAx val="140274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203997090725108"/>
          <c:w val="1"/>
          <c:h val="0.6983856686588874"/>
        </c:manualLayout>
      </c:layout>
      <c:areaChart>
        <c:grouping val="standard"/>
        <c:varyColors val="0"/>
        <c:ser>
          <c:idx val="0"/>
          <c:order val="0"/>
          <c:tx>
            <c:strRef>
              <c:f>'Pivot report'!$D$4</c:f>
              <c:strCache>
                <c:ptCount val="1"/>
                <c:pt idx="0">
                  <c:v>Total</c:v>
                </c:pt>
              </c:strCache>
            </c:strRef>
          </c:tx>
          <c:spPr>
            <a:solidFill>
              <a:srgbClr val="002060"/>
            </a:solidFill>
            <a:ln w="25400">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381D-408B-B0AF-4A0001FE2639}"/>
            </c:ext>
          </c:extLst>
        </c:ser>
        <c:dLbls>
          <c:showLegendKey val="0"/>
          <c:showVal val="0"/>
          <c:showCatName val="0"/>
          <c:showSerName val="0"/>
          <c:showPercent val="0"/>
          <c:showBubbleSize val="0"/>
        </c:dLbls>
        <c:axId val="364680415"/>
        <c:axId val="364669375"/>
      </c:areaChart>
      <c:catAx>
        <c:axId val="364680415"/>
        <c:scaling>
          <c:orientation val="minMax"/>
        </c:scaling>
        <c:delete val="1"/>
        <c:axPos val="b"/>
        <c:numFmt formatCode="General" sourceLinked="1"/>
        <c:majorTickMark val="out"/>
        <c:minorTickMark val="none"/>
        <c:tickLblPos val="nextTo"/>
        <c:crossAx val="364669375"/>
        <c:crosses val="autoZero"/>
        <c:auto val="1"/>
        <c:lblAlgn val="ctr"/>
        <c:lblOffset val="100"/>
        <c:noMultiLvlLbl val="0"/>
      </c:catAx>
      <c:valAx>
        <c:axId val="364669375"/>
        <c:scaling>
          <c:orientation val="minMax"/>
        </c:scaling>
        <c:delete val="1"/>
        <c:axPos val="l"/>
        <c:numFmt formatCode="General" sourceLinked="1"/>
        <c:majorTickMark val="none"/>
        <c:minorTickMark val="none"/>
        <c:tickLblPos val="nextTo"/>
        <c:crossAx val="36468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report!PivotTable5</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rgbClr val="002060"/>
            </a:solidFill>
            <a:ln w="25400">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784F-4B14-BD6B-6588D1EEB16E}"/>
            </c:ext>
          </c:extLst>
        </c:ser>
        <c:dLbls>
          <c:showLegendKey val="0"/>
          <c:showVal val="0"/>
          <c:showCatName val="0"/>
          <c:showSerName val="0"/>
          <c:showPercent val="0"/>
          <c:showBubbleSize val="0"/>
        </c:dLbls>
        <c:axId val="1217413551"/>
        <c:axId val="1217410191"/>
      </c:areaChart>
      <c:catAx>
        <c:axId val="1217413551"/>
        <c:scaling>
          <c:orientation val="minMax"/>
        </c:scaling>
        <c:delete val="1"/>
        <c:axPos val="b"/>
        <c:numFmt formatCode="General" sourceLinked="1"/>
        <c:majorTickMark val="out"/>
        <c:minorTickMark val="none"/>
        <c:tickLblPos val="nextTo"/>
        <c:crossAx val="1217410191"/>
        <c:crosses val="autoZero"/>
        <c:auto val="1"/>
        <c:lblAlgn val="ctr"/>
        <c:lblOffset val="100"/>
        <c:noMultiLvlLbl val="0"/>
      </c:catAx>
      <c:valAx>
        <c:axId val="1217410191"/>
        <c:scaling>
          <c:orientation val="minMax"/>
        </c:scaling>
        <c:delete val="1"/>
        <c:axPos val="l"/>
        <c:numFmt formatCode="0.00" sourceLinked="1"/>
        <c:majorTickMark val="out"/>
        <c:minorTickMark val="none"/>
        <c:tickLblPos val="nextTo"/>
        <c:crossAx val="1217413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report!PivotTable7</c:name>
    <c:fmtId val="9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90047393364927E-2"/>
          <c:y val="0.30982939632545931"/>
          <c:w val="0.91311216429699826"/>
          <c:h val="0.59294871794871795"/>
        </c:manualLayout>
      </c:layout>
      <c:areaChart>
        <c:grouping val="standard"/>
        <c:varyColors val="0"/>
        <c:ser>
          <c:idx val="0"/>
          <c:order val="0"/>
          <c:tx>
            <c:strRef>
              <c:f>'Pivot report'!$J$4</c:f>
              <c:strCache>
                <c:ptCount val="1"/>
                <c:pt idx="0">
                  <c:v>Total</c:v>
                </c:pt>
              </c:strCache>
            </c:strRef>
          </c:tx>
          <c:spPr>
            <a:solidFill>
              <a:srgbClr val="002060"/>
            </a:solidFill>
            <a:ln w="25400">
              <a:noFill/>
            </a:ln>
            <a:effectLst/>
          </c:spPr>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0577-4542-B498-9CB6A6976E54}"/>
            </c:ext>
          </c:extLst>
        </c:ser>
        <c:dLbls>
          <c:showLegendKey val="0"/>
          <c:showVal val="0"/>
          <c:showCatName val="0"/>
          <c:showSerName val="0"/>
          <c:showPercent val="0"/>
          <c:showBubbleSize val="0"/>
        </c:dLbls>
        <c:axId val="1231480783"/>
        <c:axId val="1231473583"/>
      </c:areaChart>
      <c:catAx>
        <c:axId val="1231480783"/>
        <c:scaling>
          <c:orientation val="minMax"/>
        </c:scaling>
        <c:delete val="1"/>
        <c:axPos val="b"/>
        <c:numFmt formatCode="General" sourceLinked="1"/>
        <c:majorTickMark val="out"/>
        <c:minorTickMark val="none"/>
        <c:tickLblPos val="nextTo"/>
        <c:crossAx val="1231473583"/>
        <c:crosses val="autoZero"/>
        <c:auto val="1"/>
        <c:lblAlgn val="ctr"/>
        <c:lblOffset val="100"/>
        <c:noMultiLvlLbl val="0"/>
      </c:catAx>
      <c:valAx>
        <c:axId val="1231473583"/>
        <c:scaling>
          <c:orientation val="minMax"/>
        </c:scaling>
        <c:delete val="1"/>
        <c:axPos val="l"/>
        <c:numFmt formatCode="0.00" sourceLinked="1"/>
        <c:majorTickMark val="out"/>
        <c:minorTickMark val="none"/>
        <c:tickLblPos val="nextTo"/>
        <c:crossAx val="123148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report!PivotTable6</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10 -19</c:v>
                </c:pt>
                <c:pt idx="2">
                  <c:v>20 -29</c:v>
                </c:pt>
                <c:pt idx="3">
                  <c:v>30 -39</c:v>
                </c:pt>
                <c:pt idx="4">
                  <c:v>40 -49</c:v>
                </c:pt>
                <c:pt idx="5">
                  <c:v>50 -59</c:v>
                </c:pt>
                <c:pt idx="6">
                  <c:v>60 -69</c:v>
                </c:pt>
                <c:pt idx="7">
                  <c:v>70 -79</c:v>
                </c:pt>
              </c:strCache>
            </c:strRef>
          </c:cat>
          <c:val>
            <c:numRef>
              <c:f>'Pivot report'!$B$51:$B$59</c:f>
              <c:numCache>
                <c:formatCode>0.00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301E-4B24-88D5-4A9C27310849}"/>
            </c:ext>
          </c:extLst>
        </c:ser>
        <c:dLbls>
          <c:dLblPos val="outEnd"/>
          <c:showLegendKey val="0"/>
          <c:showVal val="1"/>
          <c:showCatName val="0"/>
          <c:showSerName val="0"/>
          <c:showPercent val="0"/>
          <c:showBubbleSize val="0"/>
        </c:dLbls>
        <c:gapWidth val="219"/>
        <c:overlap val="-27"/>
        <c:axId val="2115574176"/>
        <c:axId val="2115575136"/>
      </c:barChart>
      <c:catAx>
        <c:axId val="2115574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accent6"/>
            </a:outerShdw>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5575136"/>
        <c:crosses val="autoZero"/>
        <c:auto val="1"/>
        <c:lblAlgn val="ctr"/>
        <c:lblOffset val="100"/>
        <c:noMultiLvlLbl val="0"/>
      </c:catAx>
      <c:valAx>
        <c:axId val="2115575136"/>
        <c:scaling>
          <c:orientation val="minMax"/>
        </c:scaling>
        <c:delete val="1"/>
        <c:axPos val="l"/>
        <c:numFmt formatCode="0.00" sourceLinked="1"/>
        <c:majorTickMark val="out"/>
        <c:minorTickMark val="none"/>
        <c:tickLblPos val="nextTo"/>
        <c:crossAx val="21155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report!PivotTable9</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accent1">
                <a:lumMod val="75000"/>
              </a:schemeClr>
            </a:solidFill>
          </a:ln>
          <a:effectLst>
            <a:softEdge rad="63500"/>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oftEdge rad="63500"/>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accent1">
                <a:lumMod val="75000"/>
              </a:schemeClr>
            </a:solidFill>
          </a:ln>
          <a:effectLst>
            <a:softEdge rad="63500"/>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255215817000978"/>
          <c:y val="0.19082775943329661"/>
          <c:w val="0.54929210491024372"/>
          <c:h val="0.80917224056670323"/>
        </c:manualLayout>
      </c:layout>
      <c:pieChart>
        <c:varyColors val="1"/>
        <c:ser>
          <c:idx val="0"/>
          <c:order val="0"/>
          <c:tx>
            <c:strRef>
              <c:f>'Pivot report'!$B$63</c:f>
              <c:strCache>
                <c:ptCount val="1"/>
                <c:pt idx="0">
                  <c:v>Total</c:v>
                </c:pt>
              </c:strCache>
            </c:strRef>
          </c:tx>
          <c:spPr>
            <a:ln>
              <a:solidFill>
                <a:schemeClr val="accent1">
                  <a:lumMod val="75000"/>
                </a:schemeClr>
              </a:solidFill>
            </a:ln>
            <a:effectLst>
              <a:softEdge rad="63500"/>
            </a:effectLst>
          </c:spPr>
          <c:dPt>
            <c:idx val="0"/>
            <c:bubble3D val="0"/>
            <c:spPr>
              <a:solidFill>
                <a:schemeClr val="accent1"/>
              </a:solidFill>
              <a:ln>
                <a:solidFill>
                  <a:schemeClr val="accent1">
                    <a:lumMod val="75000"/>
                  </a:schemeClr>
                </a:solidFill>
              </a:ln>
              <a:effectLst>
                <a:softEdge rad="63500"/>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solidFill>
                  <a:schemeClr val="accent1">
                    <a:lumMod val="75000"/>
                  </a:schemeClr>
                </a:solidFill>
              </a:ln>
              <a:effectLst>
                <a:softEdge rad="63500"/>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0.00</c:formatCode>
                <c:ptCount val="2"/>
                <c:pt idx="0">
                  <c:v>283</c:v>
                </c:pt>
                <c:pt idx="1">
                  <c:v>148</c:v>
                </c:pt>
              </c:numCache>
            </c:numRef>
          </c:val>
          <c:extLst>
            <c:ext xmlns:c16="http://schemas.microsoft.com/office/drawing/2014/chart" uri="{C3380CC4-5D6E-409C-BE32-E72D297353CC}">
              <c16:uniqueId val="{00000004-AF8B-4B75-9853-3895C8A86B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613499461992539"/>
          <c:y val="2.0851649678759476E-2"/>
          <c:w val="0.30782071781257225"/>
          <c:h val="0.3697937297715086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report!PivotTable10</c:name>
    <c:fmtId val="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048234536720645"/>
          <c:y val="0.17495395948434622"/>
          <c:w val="0.62641509433962261"/>
          <c:h val="0.82504604051565378"/>
        </c:manualLayout>
      </c:layout>
      <c:doughnutChart>
        <c:varyColors val="1"/>
        <c:ser>
          <c:idx val="0"/>
          <c:order val="0"/>
          <c:tx>
            <c:strRef>
              <c:f>'Pivot report'!$B$70</c:f>
              <c:strCache>
                <c:ptCount val="1"/>
                <c:pt idx="0">
                  <c:v>Total</c:v>
                </c:pt>
              </c:strCache>
            </c:strRef>
          </c:tx>
          <c:dPt>
            <c:idx val="0"/>
            <c:bubble3D val="0"/>
            <c:spPr>
              <a:solidFill>
                <a:schemeClr val="accent1"/>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solidFill>
                  <a:schemeClr val="accent1">
                    <a:lumMod val="75000"/>
                  </a:schemeClr>
                </a:soli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0.00</c:formatCode>
                <c:ptCount val="2"/>
                <c:pt idx="0">
                  <c:v>194</c:v>
                </c:pt>
                <c:pt idx="1">
                  <c:v>237</c:v>
                </c:pt>
              </c:numCache>
            </c:numRef>
          </c:val>
          <c:extLst>
            <c:ext xmlns:c16="http://schemas.microsoft.com/office/drawing/2014/chart" uri="{C3380CC4-5D6E-409C-BE32-E72D297353CC}">
              <c16:uniqueId val="{00000004-E0CE-42F9-8596-8E9D3E92C4F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7191105828752539E-2"/>
          <c:y val="2.3408185087975115E-2"/>
          <c:w val="0.29666468578220173"/>
          <c:h val="0.3720764071157772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report!PivotTable11</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92863785727567"/>
          <c:y val="3.2090988626421693E-2"/>
          <c:w val="0.70169172932330826"/>
          <c:h val="0.88819897512810897"/>
        </c:manualLayout>
      </c:layout>
      <c:barChart>
        <c:barDir val="bar"/>
        <c:grouping val="clustered"/>
        <c:varyColors val="0"/>
        <c:ser>
          <c:idx val="0"/>
          <c:order val="0"/>
          <c:tx>
            <c:strRef>
              <c:f>'Pivot report'!$B$77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report'!$B$78:$B$86</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1369-4BC8-83B6-4DBA966A7EBB}"/>
            </c:ext>
          </c:extLst>
        </c:ser>
        <c:dLbls>
          <c:dLblPos val="outEnd"/>
          <c:showLegendKey val="0"/>
          <c:showVal val="1"/>
          <c:showCatName val="0"/>
          <c:showSerName val="0"/>
          <c:showPercent val="0"/>
          <c:showBubbleSize val="0"/>
        </c:dLbls>
        <c:gapWidth val="25"/>
        <c:overlap val="-11"/>
        <c:axId val="1700223264"/>
        <c:axId val="1700218464"/>
      </c:barChart>
      <c:catAx>
        <c:axId val="170022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0218464"/>
        <c:crosses val="autoZero"/>
        <c:auto val="1"/>
        <c:lblAlgn val="ctr"/>
        <c:lblOffset val="100"/>
        <c:noMultiLvlLbl val="0"/>
      </c:catAx>
      <c:valAx>
        <c:axId val="1700218464"/>
        <c:scaling>
          <c:orientation val="minMax"/>
        </c:scaling>
        <c:delete val="1"/>
        <c:axPos val="b"/>
        <c:numFmt formatCode="0" sourceLinked="1"/>
        <c:majorTickMark val="out"/>
        <c:minorTickMark val="none"/>
        <c:tickLblPos val="nextTo"/>
        <c:crossAx val="170022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1692913385827E-2"/>
          <c:y val="0.17129629629629628"/>
          <c:w val="0.87955096237970254"/>
          <c:h val="0.65833624963546211"/>
        </c:manualLayout>
      </c:layout>
      <c:areaChart>
        <c:grouping val="standard"/>
        <c:varyColors val="0"/>
        <c:ser>
          <c:idx val="0"/>
          <c:order val="0"/>
          <c:tx>
            <c:strRef>
              <c:f>'Pivot report'!$D$4</c:f>
              <c:strCache>
                <c:ptCount val="1"/>
                <c:pt idx="0">
                  <c:v>Total</c:v>
                </c:pt>
              </c:strCache>
            </c:strRef>
          </c:tx>
          <c:spPr>
            <a:solidFill>
              <a:schemeClr val="accent1">
                <a:lumMod val="50000"/>
              </a:schemeClr>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1079-4CF9-9A35-84FC8665BB63}"/>
            </c:ext>
          </c:extLst>
        </c:ser>
        <c:dLbls>
          <c:showLegendKey val="0"/>
          <c:showVal val="0"/>
          <c:showCatName val="0"/>
          <c:showSerName val="0"/>
          <c:showPercent val="0"/>
          <c:showBubbleSize val="0"/>
        </c:dLbls>
        <c:axId val="364680415"/>
        <c:axId val="364669375"/>
      </c:areaChart>
      <c:catAx>
        <c:axId val="36468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69375"/>
        <c:crosses val="autoZero"/>
        <c:auto val="1"/>
        <c:lblAlgn val="ctr"/>
        <c:lblOffset val="100"/>
        <c:noMultiLvlLbl val="0"/>
      </c:catAx>
      <c:valAx>
        <c:axId val="364669375"/>
        <c:scaling>
          <c:orientation val="minMax"/>
        </c:scaling>
        <c:delete val="1"/>
        <c:axPos val="l"/>
        <c:numFmt formatCode="General" sourceLinked="1"/>
        <c:majorTickMark val="none"/>
        <c:minorTickMark val="none"/>
        <c:tickLblPos val="nextTo"/>
        <c:crossAx val="36468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report!PivotTable5</c:name>
    <c:fmtId val="6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rgbClr val="00206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44DF-47BB-8F2A-CCA30226E2B1}"/>
            </c:ext>
          </c:extLst>
        </c:ser>
        <c:dLbls>
          <c:showLegendKey val="0"/>
          <c:showVal val="0"/>
          <c:showCatName val="0"/>
          <c:showSerName val="0"/>
          <c:showPercent val="0"/>
          <c:showBubbleSize val="0"/>
        </c:dLbls>
        <c:axId val="1217413551"/>
        <c:axId val="1217410191"/>
      </c:areaChart>
      <c:catAx>
        <c:axId val="1217413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10191"/>
        <c:crosses val="autoZero"/>
        <c:auto val="1"/>
        <c:lblAlgn val="ctr"/>
        <c:lblOffset val="100"/>
        <c:noMultiLvlLbl val="0"/>
      </c:catAx>
      <c:valAx>
        <c:axId val="1217410191"/>
        <c:scaling>
          <c:orientation val="minMax"/>
        </c:scaling>
        <c:delete val="1"/>
        <c:axPos val="l"/>
        <c:numFmt formatCode="0.00" sourceLinked="1"/>
        <c:majorTickMark val="out"/>
        <c:minorTickMark val="none"/>
        <c:tickLblPos val="nextTo"/>
        <c:crossAx val="1217413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 Full.xlsx]Pivot report!PivotTable7</c:name>
    <c:fmtId val="8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rgbClr val="00206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790E-45FB-B2E0-8BCB7BD97CD3}"/>
            </c:ext>
          </c:extLst>
        </c:ser>
        <c:dLbls>
          <c:showLegendKey val="0"/>
          <c:showVal val="1"/>
          <c:showCatName val="0"/>
          <c:showSerName val="0"/>
          <c:showPercent val="0"/>
          <c:showBubbleSize val="0"/>
        </c:dLbls>
        <c:axId val="1231480783"/>
        <c:axId val="1231473583"/>
      </c:areaChart>
      <c:catAx>
        <c:axId val="123148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73583"/>
        <c:crosses val="autoZero"/>
        <c:auto val="1"/>
        <c:lblAlgn val="ctr"/>
        <c:lblOffset val="100"/>
        <c:noMultiLvlLbl val="0"/>
      </c:catAx>
      <c:valAx>
        <c:axId val="1231473583"/>
        <c:scaling>
          <c:orientation val="minMax"/>
        </c:scaling>
        <c:delete val="1"/>
        <c:axPos val="l"/>
        <c:numFmt formatCode="0.00" sourceLinked="1"/>
        <c:majorTickMark val="out"/>
        <c:minorTickMark val="none"/>
        <c:tickLblPos val="nextTo"/>
        <c:crossAx val="123148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65311</xdr:colOff>
      <xdr:row>44</xdr:row>
      <xdr:rowOff>87086</xdr:rowOff>
    </xdr:from>
    <xdr:to>
      <xdr:col>3</xdr:col>
      <xdr:colOff>2009311</xdr:colOff>
      <xdr:row>48</xdr:row>
      <xdr:rowOff>67629</xdr:rowOff>
    </xdr:to>
    <xdr:graphicFrame macro="">
      <xdr:nvGraphicFramePr>
        <xdr:cNvPr id="3" name="Chart 2">
          <a:extLst>
            <a:ext uri="{FF2B5EF4-FFF2-40B4-BE49-F238E27FC236}">
              <a16:creationId xmlns:a16="http://schemas.microsoft.com/office/drawing/2014/main" id="{8793835E-8545-4DA8-A601-EBB1CD018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76201</xdr:colOff>
      <xdr:row>0</xdr:row>
      <xdr:rowOff>53340</xdr:rowOff>
    </xdr:from>
    <xdr:to>
      <xdr:col>13</xdr:col>
      <xdr:colOff>548641</xdr:colOff>
      <xdr:row>3</xdr:row>
      <xdr:rowOff>22860</xdr:rowOff>
    </xdr:to>
    <xdr:sp macro="" textlink="">
      <xdr:nvSpPr>
        <xdr:cNvPr id="2" name="Rectangle: Rounded Corners 1">
          <a:extLst>
            <a:ext uri="{FF2B5EF4-FFF2-40B4-BE49-F238E27FC236}">
              <a16:creationId xmlns:a16="http://schemas.microsoft.com/office/drawing/2014/main" id="{68D177B8-8974-34C8-24B3-0ECFECBF10D3}"/>
            </a:ext>
          </a:extLst>
        </xdr:cNvPr>
        <xdr:cNvSpPr/>
      </xdr:nvSpPr>
      <xdr:spPr>
        <a:xfrm>
          <a:off x="76201" y="53340"/>
          <a:ext cx="8397240" cy="51816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91440</xdr:colOff>
      <xdr:row>3</xdr:row>
      <xdr:rowOff>91440</xdr:rowOff>
    </xdr:from>
    <xdr:to>
      <xdr:col>10</xdr:col>
      <xdr:colOff>419100</xdr:colOff>
      <xdr:row>7</xdr:row>
      <xdr:rowOff>121920</xdr:rowOff>
    </xdr:to>
    <xdr:sp macro="" textlink="">
      <xdr:nvSpPr>
        <xdr:cNvPr id="3" name="Rectangle: Rounded Corners 2">
          <a:extLst>
            <a:ext uri="{FF2B5EF4-FFF2-40B4-BE49-F238E27FC236}">
              <a16:creationId xmlns:a16="http://schemas.microsoft.com/office/drawing/2014/main" id="{CEEE0533-1ABD-F52B-0F9E-09F718063C53}"/>
            </a:ext>
          </a:extLst>
        </xdr:cNvPr>
        <xdr:cNvSpPr/>
      </xdr:nvSpPr>
      <xdr:spPr>
        <a:xfrm>
          <a:off x="91440" y="640080"/>
          <a:ext cx="6423660" cy="76200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495300</xdr:colOff>
      <xdr:row>3</xdr:row>
      <xdr:rowOff>83820</xdr:rowOff>
    </xdr:from>
    <xdr:to>
      <xdr:col>13</xdr:col>
      <xdr:colOff>533400</xdr:colOff>
      <xdr:row>7</xdr:row>
      <xdr:rowOff>129540</xdr:rowOff>
    </xdr:to>
    <xdr:sp macro="" textlink="">
      <xdr:nvSpPr>
        <xdr:cNvPr id="6" name="Rectangle: Rounded Corners 5">
          <a:extLst>
            <a:ext uri="{FF2B5EF4-FFF2-40B4-BE49-F238E27FC236}">
              <a16:creationId xmlns:a16="http://schemas.microsoft.com/office/drawing/2014/main" id="{6866F2DA-5D48-D52E-65EE-28F069E229EE}"/>
            </a:ext>
          </a:extLst>
        </xdr:cNvPr>
        <xdr:cNvSpPr/>
      </xdr:nvSpPr>
      <xdr:spPr>
        <a:xfrm>
          <a:off x="6591300" y="632460"/>
          <a:ext cx="1866900" cy="777240"/>
        </a:xfrm>
        <a:prstGeom prst="roundRect">
          <a:avLst>
            <a:gd name="adj" fmla="val 38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71845</xdr:colOff>
      <xdr:row>7</xdr:row>
      <xdr:rowOff>167640</xdr:rowOff>
    </xdr:from>
    <xdr:to>
      <xdr:col>2</xdr:col>
      <xdr:colOff>266700</xdr:colOff>
      <xdr:row>13</xdr:row>
      <xdr:rowOff>91440</xdr:rowOff>
    </xdr:to>
    <xdr:sp macro="" textlink="">
      <xdr:nvSpPr>
        <xdr:cNvPr id="7" name="Rectangle: Rounded Corners 6">
          <a:extLst>
            <a:ext uri="{FF2B5EF4-FFF2-40B4-BE49-F238E27FC236}">
              <a16:creationId xmlns:a16="http://schemas.microsoft.com/office/drawing/2014/main" id="{622FF3C4-9C7C-95AA-EAFF-F75D772B952A}"/>
            </a:ext>
          </a:extLst>
        </xdr:cNvPr>
        <xdr:cNvSpPr/>
      </xdr:nvSpPr>
      <xdr:spPr>
        <a:xfrm>
          <a:off x="71845" y="1447800"/>
          <a:ext cx="1414055" cy="102108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68580</xdr:colOff>
      <xdr:row>13</xdr:row>
      <xdr:rowOff>167640</xdr:rowOff>
    </xdr:from>
    <xdr:to>
      <xdr:col>7</xdr:col>
      <xdr:colOff>129540</xdr:colOff>
      <xdr:row>17</xdr:row>
      <xdr:rowOff>22860</xdr:rowOff>
    </xdr:to>
    <xdr:sp macro="" textlink="">
      <xdr:nvSpPr>
        <xdr:cNvPr id="10" name="Rectangle: Rounded Corners 9">
          <a:extLst>
            <a:ext uri="{FF2B5EF4-FFF2-40B4-BE49-F238E27FC236}">
              <a16:creationId xmlns:a16="http://schemas.microsoft.com/office/drawing/2014/main" id="{D6581B1D-8A26-5442-A0AD-921513C911A9}"/>
            </a:ext>
          </a:extLst>
        </xdr:cNvPr>
        <xdr:cNvSpPr/>
      </xdr:nvSpPr>
      <xdr:spPr>
        <a:xfrm>
          <a:off x="68580" y="2545080"/>
          <a:ext cx="4328160" cy="58674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68580</xdr:colOff>
      <xdr:row>17</xdr:row>
      <xdr:rowOff>76200</xdr:rowOff>
    </xdr:from>
    <xdr:to>
      <xdr:col>7</xdr:col>
      <xdr:colOff>121920</xdr:colOff>
      <xdr:row>24</xdr:row>
      <xdr:rowOff>144780</xdr:rowOff>
    </xdr:to>
    <xdr:sp macro="" textlink="">
      <xdr:nvSpPr>
        <xdr:cNvPr id="11" name="Rectangle: Rounded Corners 10">
          <a:extLst>
            <a:ext uri="{FF2B5EF4-FFF2-40B4-BE49-F238E27FC236}">
              <a16:creationId xmlns:a16="http://schemas.microsoft.com/office/drawing/2014/main" id="{6FA58AE4-C829-1693-9DC4-E001458C8A35}"/>
            </a:ext>
          </a:extLst>
        </xdr:cNvPr>
        <xdr:cNvSpPr/>
      </xdr:nvSpPr>
      <xdr:spPr>
        <a:xfrm>
          <a:off x="68580" y="3185160"/>
          <a:ext cx="4320540" cy="134874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167640</xdr:colOff>
      <xdr:row>16</xdr:row>
      <xdr:rowOff>22860</xdr:rowOff>
    </xdr:from>
    <xdr:to>
      <xdr:col>13</xdr:col>
      <xdr:colOff>548640</xdr:colOff>
      <xdr:row>24</xdr:row>
      <xdr:rowOff>144780</xdr:rowOff>
    </xdr:to>
    <xdr:sp macro="" textlink="">
      <xdr:nvSpPr>
        <xdr:cNvPr id="12" name="Rectangle: Rounded Corners 11">
          <a:extLst>
            <a:ext uri="{FF2B5EF4-FFF2-40B4-BE49-F238E27FC236}">
              <a16:creationId xmlns:a16="http://schemas.microsoft.com/office/drawing/2014/main" id="{1EDE6F71-CE5C-E9D6-3DF6-679C6685E8EB}"/>
            </a:ext>
          </a:extLst>
        </xdr:cNvPr>
        <xdr:cNvSpPr/>
      </xdr:nvSpPr>
      <xdr:spPr>
        <a:xfrm>
          <a:off x="4434840" y="2948940"/>
          <a:ext cx="4038600" cy="158496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182879</xdr:colOff>
      <xdr:row>8</xdr:row>
      <xdr:rowOff>15240</xdr:rowOff>
    </xdr:from>
    <xdr:to>
      <xdr:col>10</xdr:col>
      <xdr:colOff>335280</xdr:colOff>
      <xdr:row>15</xdr:row>
      <xdr:rowOff>137160</xdr:rowOff>
    </xdr:to>
    <xdr:sp macro="" textlink="">
      <xdr:nvSpPr>
        <xdr:cNvPr id="15" name="Rectangle: Rounded Corners 14">
          <a:extLst>
            <a:ext uri="{FF2B5EF4-FFF2-40B4-BE49-F238E27FC236}">
              <a16:creationId xmlns:a16="http://schemas.microsoft.com/office/drawing/2014/main" id="{0E013C3D-F8DF-BADE-745B-FE86205EE897}"/>
            </a:ext>
          </a:extLst>
        </xdr:cNvPr>
        <xdr:cNvSpPr/>
      </xdr:nvSpPr>
      <xdr:spPr>
        <a:xfrm>
          <a:off x="4450079" y="1478280"/>
          <a:ext cx="1981201" cy="140208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320040</xdr:colOff>
      <xdr:row>7</xdr:row>
      <xdr:rowOff>175260</xdr:rowOff>
    </xdr:from>
    <xdr:to>
      <xdr:col>4</xdr:col>
      <xdr:colOff>449581</xdr:colOff>
      <xdr:row>13</xdr:row>
      <xdr:rowOff>83820</xdr:rowOff>
    </xdr:to>
    <xdr:sp macro="" textlink="">
      <xdr:nvSpPr>
        <xdr:cNvPr id="14" name="Rectangle: Rounded Corners 13">
          <a:extLst>
            <a:ext uri="{FF2B5EF4-FFF2-40B4-BE49-F238E27FC236}">
              <a16:creationId xmlns:a16="http://schemas.microsoft.com/office/drawing/2014/main" id="{7BDBAA95-D2AC-1358-F618-E5A3C355286F}"/>
            </a:ext>
          </a:extLst>
        </xdr:cNvPr>
        <xdr:cNvSpPr/>
      </xdr:nvSpPr>
      <xdr:spPr>
        <a:xfrm>
          <a:off x="1539240" y="1455420"/>
          <a:ext cx="1348741" cy="100584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502920</xdr:colOff>
      <xdr:row>8</xdr:row>
      <xdr:rowOff>0</xdr:rowOff>
    </xdr:from>
    <xdr:to>
      <xdr:col>7</xdr:col>
      <xdr:colOff>108857</xdr:colOff>
      <xdr:row>13</xdr:row>
      <xdr:rowOff>91440</xdr:rowOff>
    </xdr:to>
    <xdr:sp macro="" textlink="">
      <xdr:nvSpPr>
        <xdr:cNvPr id="16" name="Rectangle: Rounded Corners 15">
          <a:extLst>
            <a:ext uri="{FF2B5EF4-FFF2-40B4-BE49-F238E27FC236}">
              <a16:creationId xmlns:a16="http://schemas.microsoft.com/office/drawing/2014/main" id="{A0E186DA-4615-4014-8F68-D6A609494B15}"/>
            </a:ext>
          </a:extLst>
        </xdr:cNvPr>
        <xdr:cNvSpPr/>
      </xdr:nvSpPr>
      <xdr:spPr>
        <a:xfrm>
          <a:off x="2941320" y="1463040"/>
          <a:ext cx="1434737" cy="1005840"/>
        </a:xfrm>
        <a:prstGeom prst="roundRect">
          <a:avLst>
            <a:gd name="adj" fmla="val 758"/>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213360</xdr:colOff>
      <xdr:row>0</xdr:row>
      <xdr:rowOff>45720</xdr:rowOff>
    </xdr:from>
    <xdr:to>
      <xdr:col>14</xdr:col>
      <xdr:colOff>7620</xdr:colOff>
      <xdr:row>3</xdr:row>
      <xdr:rowOff>38099</xdr:rowOff>
    </xdr:to>
    <xdr:sp macro="" textlink="">
      <xdr:nvSpPr>
        <xdr:cNvPr id="19" name="TextBox 18">
          <a:extLst>
            <a:ext uri="{FF2B5EF4-FFF2-40B4-BE49-F238E27FC236}">
              <a16:creationId xmlns:a16="http://schemas.microsoft.com/office/drawing/2014/main" id="{9021D315-34FF-DDEC-6F29-1D0E7DD13BEB}"/>
            </a:ext>
          </a:extLst>
        </xdr:cNvPr>
        <xdr:cNvSpPr txBox="1"/>
      </xdr:nvSpPr>
      <xdr:spPr>
        <a:xfrm>
          <a:off x="213360" y="45720"/>
          <a:ext cx="8328660" cy="541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400" b="1" cap="none" spc="0">
              <a:ln w="0"/>
              <a:solidFill>
                <a:schemeClr val="tx1"/>
              </a:solidFill>
              <a:effectLst>
                <a:outerShdw blurRad="38100" dist="19050" dir="2700000" algn="tl" rotWithShape="0">
                  <a:schemeClr val="dk1">
                    <a:alpha val="40000"/>
                  </a:schemeClr>
                </a:outerShdw>
              </a:effectLst>
            </a:rPr>
            <a:t>Hospital Emergency Room</a:t>
          </a:r>
        </a:p>
      </xdr:txBody>
    </xdr:sp>
    <xdr:clientData/>
  </xdr:twoCellAnchor>
  <xdr:twoCellAnchor editAs="oneCell">
    <xdr:from>
      <xdr:col>3</xdr:col>
      <xdr:colOff>213360</xdr:colOff>
      <xdr:row>0</xdr:row>
      <xdr:rowOff>106679</xdr:rowOff>
    </xdr:from>
    <xdr:to>
      <xdr:col>4</xdr:col>
      <xdr:colOff>236220</xdr:colOff>
      <xdr:row>2</xdr:row>
      <xdr:rowOff>140426</xdr:rowOff>
    </xdr:to>
    <xdr:pic>
      <xdr:nvPicPr>
        <xdr:cNvPr id="27" name="Picture 26">
          <a:extLst>
            <a:ext uri="{FF2B5EF4-FFF2-40B4-BE49-F238E27FC236}">
              <a16:creationId xmlns:a16="http://schemas.microsoft.com/office/drawing/2014/main" id="{CA8096C3-CBF7-BE1D-AFC5-9E36B29402B6}"/>
            </a:ext>
          </a:extLst>
        </xdr:cNvPr>
        <xdr:cNvPicPr>
          <a:picLocks noChangeAspect="1"/>
        </xdr:cNvPicPr>
      </xdr:nvPicPr>
      <xdr:blipFill rotWithShape="1">
        <a:blip xmlns:r="http://schemas.openxmlformats.org/officeDocument/2006/relationships" r:embed="rId1" cstate="print">
          <a:grayscl/>
          <a:extLst>
            <a:ext uri="{28A0092B-C50C-407E-A947-70E740481C1C}">
              <a14:useLocalDpi xmlns:a14="http://schemas.microsoft.com/office/drawing/2010/main" val="0"/>
            </a:ext>
          </a:extLst>
        </a:blip>
        <a:srcRect l="21905" t="12007" r="14285" b="14234"/>
        <a:stretch>
          <a:fillRect/>
        </a:stretch>
      </xdr:blipFill>
      <xdr:spPr>
        <a:xfrm>
          <a:off x="2042160" y="106679"/>
          <a:ext cx="632460" cy="399507"/>
        </a:xfrm>
        <a:prstGeom prst="rect">
          <a:avLst/>
        </a:prstGeom>
      </xdr:spPr>
    </xdr:pic>
    <xdr:clientData/>
  </xdr:twoCellAnchor>
  <xdr:twoCellAnchor>
    <xdr:from>
      <xdr:col>0</xdr:col>
      <xdr:colOff>365760</xdr:colOff>
      <xdr:row>8</xdr:row>
      <xdr:rowOff>78126</xdr:rowOff>
    </xdr:from>
    <xdr:to>
      <xdr:col>1</xdr:col>
      <xdr:colOff>580240</xdr:colOff>
      <xdr:row>10</xdr:row>
      <xdr:rowOff>99059</xdr:rowOff>
    </xdr:to>
    <xdr:sp macro="" textlink="'Pivot report'!A5">
      <xdr:nvSpPr>
        <xdr:cNvPr id="29" name="TextBox 28">
          <a:extLst>
            <a:ext uri="{FF2B5EF4-FFF2-40B4-BE49-F238E27FC236}">
              <a16:creationId xmlns:a16="http://schemas.microsoft.com/office/drawing/2014/main" id="{6F25891D-8E01-33D9-11C3-222A5C28B18D}"/>
            </a:ext>
          </a:extLst>
        </xdr:cNvPr>
        <xdr:cNvSpPr txBox="1"/>
      </xdr:nvSpPr>
      <xdr:spPr>
        <a:xfrm>
          <a:off x="365760" y="1541166"/>
          <a:ext cx="824080" cy="38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77AA42-2F9E-43AA-90D7-D3E84F39842F}" type="TxLink">
            <a:rPr lang="en-US" sz="1400" b="1" i="0" u="none" strike="noStrike">
              <a:solidFill>
                <a:srgbClr val="000000"/>
              </a:solidFill>
              <a:latin typeface="Calibri"/>
              <a:ea typeface="Calibri"/>
              <a:cs typeface="Calibri"/>
            </a:rPr>
            <a:pPr algn="ctr"/>
            <a:t>431</a:t>
          </a:fld>
          <a:endParaRPr lang="en-IN" sz="1400" b="1"/>
        </a:p>
      </xdr:txBody>
    </xdr:sp>
    <xdr:clientData/>
  </xdr:twoCellAnchor>
  <xdr:twoCellAnchor>
    <xdr:from>
      <xdr:col>0</xdr:col>
      <xdr:colOff>167640</xdr:colOff>
      <xdr:row>9</xdr:row>
      <xdr:rowOff>160020</xdr:rowOff>
    </xdr:from>
    <xdr:to>
      <xdr:col>2</xdr:col>
      <xdr:colOff>144780</xdr:colOff>
      <xdr:row>11</xdr:row>
      <xdr:rowOff>15240</xdr:rowOff>
    </xdr:to>
    <xdr:sp macro="" textlink="Dashboard!$A$5">
      <xdr:nvSpPr>
        <xdr:cNvPr id="31" name="TextBox 30">
          <a:extLst>
            <a:ext uri="{FF2B5EF4-FFF2-40B4-BE49-F238E27FC236}">
              <a16:creationId xmlns:a16="http://schemas.microsoft.com/office/drawing/2014/main" id="{2C0DB0E1-9610-5FEE-AEB7-5A9FF64A5CF2}"/>
            </a:ext>
          </a:extLst>
        </xdr:cNvPr>
        <xdr:cNvSpPr txBox="1"/>
      </xdr:nvSpPr>
      <xdr:spPr>
        <a:xfrm>
          <a:off x="167640" y="1805940"/>
          <a:ext cx="11963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4B9414-FCAE-4BA2-9B85-08D032FFF4D1}" type="TxLink">
            <a:rPr lang="en-US" sz="1100" b="1" i="0" u="none" strike="noStrike">
              <a:solidFill>
                <a:srgbClr val="000000"/>
              </a:solidFill>
              <a:latin typeface="Calibri"/>
              <a:ea typeface="Calibri"/>
              <a:cs typeface="Calibri"/>
            </a:rPr>
            <a:pPr algn="ctr"/>
            <a:t> </a:t>
          </a:fld>
          <a:r>
            <a:rPr lang="en-US" sz="1100" b="1" i="0" u="none" strike="noStrike">
              <a:solidFill>
                <a:srgbClr val="000000"/>
              </a:solidFill>
              <a:latin typeface="Calibri"/>
              <a:ea typeface="Calibri"/>
              <a:cs typeface="Calibri"/>
            </a:rPr>
            <a:t>No. of Patient</a:t>
          </a:r>
          <a:endParaRPr lang="en-IN" sz="1100" b="1"/>
        </a:p>
      </xdr:txBody>
    </xdr:sp>
    <xdr:clientData/>
  </xdr:twoCellAnchor>
  <xdr:twoCellAnchor>
    <xdr:from>
      <xdr:col>2</xdr:col>
      <xdr:colOff>487680</xdr:colOff>
      <xdr:row>8</xdr:row>
      <xdr:rowOff>83820</xdr:rowOff>
    </xdr:from>
    <xdr:to>
      <xdr:col>4</xdr:col>
      <xdr:colOff>464820</xdr:colOff>
      <xdr:row>10</xdr:row>
      <xdr:rowOff>30480</xdr:rowOff>
    </xdr:to>
    <xdr:sp macro="" textlink="'Pivot report'!A10">
      <xdr:nvSpPr>
        <xdr:cNvPr id="40" name="TextBox 39">
          <a:extLst>
            <a:ext uri="{FF2B5EF4-FFF2-40B4-BE49-F238E27FC236}">
              <a16:creationId xmlns:a16="http://schemas.microsoft.com/office/drawing/2014/main" id="{DF372079-6998-F171-3CE0-D5F334F507FF}"/>
            </a:ext>
          </a:extLst>
        </xdr:cNvPr>
        <xdr:cNvSpPr txBox="1"/>
      </xdr:nvSpPr>
      <xdr:spPr>
        <a:xfrm>
          <a:off x="1706880" y="1546860"/>
          <a:ext cx="11963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3C94AC-9013-4EC1-ADD4-DBAA3E3AFFB7}" type="TxLink">
            <a:rPr lang="en-US" sz="1400" b="1" i="0" u="none" strike="noStrike">
              <a:solidFill>
                <a:srgbClr val="000000"/>
              </a:solidFill>
              <a:latin typeface="Calibri"/>
              <a:ea typeface="Calibri"/>
              <a:cs typeface="Calibri"/>
            </a:rPr>
            <a:pPr algn="ctr"/>
            <a:t>36.67</a:t>
          </a:fld>
          <a:endParaRPr lang="en-IN" sz="1400" b="1"/>
        </a:p>
      </xdr:txBody>
    </xdr:sp>
    <xdr:clientData/>
  </xdr:twoCellAnchor>
  <xdr:twoCellAnchor>
    <xdr:from>
      <xdr:col>2</xdr:col>
      <xdr:colOff>312420</xdr:colOff>
      <xdr:row>9</xdr:row>
      <xdr:rowOff>160020</xdr:rowOff>
    </xdr:from>
    <xdr:to>
      <xdr:col>4</xdr:col>
      <xdr:colOff>495300</xdr:colOff>
      <xdr:row>11</xdr:row>
      <xdr:rowOff>60960</xdr:rowOff>
    </xdr:to>
    <xdr:sp macro="" textlink="">
      <xdr:nvSpPr>
        <xdr:cNvPr id="41" name="TextBox 40">
          <a:extLst>
            <a:ext uri="{FF2B5EF4-FFF2-40B4-BE49-F238E27FC236}">
              <a16:creationId xmlns:a16="http://schemas.microsoft.com/office/drawing/2014/main" id="{9B9A2CC7-3B1A-0FA3-DCBA-C5DFCB323C27}"/>
            </a:ext>
          </a:extLst>
        </xdr:cNvPr>
        <xdr:cNvSpPr txBox="1"/>
      </xdr:nvSpPr>
      <xdr:spPr>
        <a:xfrm>
          <a:off x="1531620" y="1805940"/>
          <a:ext cx="1402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rgbClr val="000000"/>
              </a:solidFill>
              <a:latin typeface="Calibri"/>
              <a:ea typeface="Calibri"/>
              <a:cs typeface="Calibri"/>
            </a:rPr>
            <a:t> Avg Wait</a:t>
          </a:r>
          <a:r>
            <a:rPr lang="en-US" sz="1000" b="1" i="0" u="none" strike="noStrike" baseline="0">
              <a:solidFill>
                <a:srgbClr val="000000"/>
              </a:solidFill>
              <a:latin typeface="Calibri"/>
              <a:ea typeface="Calibri"/>
              <a:cs typeface="Calibri"/>
            </a:rPr>
            <a:t> Time(Min)</a:t>
          </a:r>
          <a:endParaRPr lang="en-US" sz="1000" b="1" i="0" u="none" strike="noStrike">
            <a:solidFill>
              <a:srgbClr val="000000"/>
            </a:solidFill>
            <a:latin typeface="Calibri"/>
            <a:ea typeface="Calibri"/>
            <a:cs typeface="Calibri"/>
          </a:endParaRPr>
        </a:p>
      </xdr:txBody>
    </xdr:sp>
    <xdr:clientData/>
  </xdr:twoCellAnchor>
  <xdr:twoCellAnchor>
    <xdr:from>
      <xdr:col>5</xdr:col>
      <xdr:colOff>30480</xdr:colOff>
      <xdr:row>8</xdr:row>
      <xdr:rowOff>160020</xdr:rowOff>
    </xdr:from>
    <xdr:to>
      <xdr:col>7</xdr:col>
      <xdr:colOff>7620</xdr:colOff>
      <xdr:row>10</xdr:row>
      <xdr:rowOff>7620</xdr:rowOff>
    </xdr:to>
    <xdr:sp macro="" textlink="'Pivot report'!A14">
      <xdr:nvSpPr>
        <xdr:cNvPr id="42" name="TextBox 41">
          <a:extLst>
            <a:ext uri="{FF2B5EF4-FFF2-40B4-BE49-F238E27FC236}">
              <a16:creationId xmlns:a16="http://schemas.microsoft.com/office/drawing/2014/main" id="{6DBE36D4-A6E5-4B2A-5FAD-E8434E01BDC4}"/>
            </a:ext>
          </a:extLst>
        </xdr:cNvPr>
        <xdr:cNvSpPr txBox="1"/>
      </xdr:nvSpPr>
      <xdr:spPr>
        <a:xfrm>
          <a:off x="3078480" y="162306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C525C2-31B4-4FD8-83C7-3C5CEDD4057B}" type="TxLink">
            <a:rPr lang="en-US" sz="1400" b="1" i="0" u="none" strike="noStrike">
              <a:solidFill>
                <a:srgbClr val="000000"/>
              </a:solidFill>
              <a:latin typeface="Calibri"/>
              <a:ea typeface="Calibri"/>
              <a:cs typeface="Calibri"/>
            </a:rPr>
            <a:pPr algn="ctr"/>
            <a:t>4.72</a:t>
          </a:fld>
          <a:endParaRPr lang="en-IN" sz="1400" b="1"/>
        </a:p>
      </xdr:txBody>
    </xdr:sp>
    <xdr:clientData/>
  </xdr:twoCellAnchor>
  <xdr:twoCellAnchor>
    <xdr:from>
      <xdr:col>4</xdr:col>
      <xdr:colOff>381000</xdr:colOff>
      <xdr:row>9</xdr:row>
      <xdr:rowOff>175260</xdr:rowOff>
    </xdr:from>
    <xdr:to>
      <xdr:col>7</xdr:col>
      <xdr:colOff>228600</xdr:colOff>
      <xdr:row>12</xdr:row>
      <xdr:rowOff>83820</xdr:rowOff>
    </xdr:to>
    <xdr:sp macro="" textlink="Dashboard!$A$5">
      <xdr:nvSpPr>
        <xdr:cNvPr id="43" name="TextBox 42">
          <a:extLst>
            <a:ext uri="{FF2B5EF4-FFF2-40B4-BE49-F238E27FC236}">
              <a16:creationId xmlns:a16="http://schemas.microsoft.com/office/drawing/2014/main" id="{B6B63CEE-F37E-FB71-2772-050BA0B83C81}"/>
            </a:ext>
          </a:extLst>
        </xdr:cNvPr>
        <xdr:cNvSpPr txBox="1"/>
      </xdr:nvSpPr>
      <xdr:spPr>
        <a:xfrm>
          <a:off x="2819400" y="1821180"/>
          <a:ext cx="1676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4B9414-FCAE-4BA2-9B85-08D032FFF4D1}" type="TxLink">
            <a:rPr lang="en-US" sz="1000" b="1" i="0" u="none" strike="noStrike">
              <a:solidFill>
                <a:srgbClr val="000000"/>
              </a:solidFill>
              <a:latin typeface="Calibri"/>
              <a:ea typeface="Calibri"/>
              <a:cs typeface="Calibri"/>
            </a:rPr>
            <a:pPr algn="ctr"/>
            <a:t> </a:t>
          </a:fld>
          <a:r>
            <a:rPr lang="en-US" sz="1000" b="1" i="0" u="none" strike="noStrike">
              <a:solidFill>
                <a:srgbClr val="000000"/>
              </a:solidFill>
              <a:latin typeface="Calibri"/>
              <a:ea typeface="Calibri"/>
              <a:cs typeface="Calibri"/>
            </a:rPr>
            <a:t>Patient Satisfaction score</a:t>
          </a:r>
          <a:endParaRPr lang="en-IN" sz="1000" b="1"/>
        </a:p>
      </xdr:txBody>
    </xdr:sp>
    <xdr:clientData/>
  </xdr:twoCellAnchor>
  <xdr:twoCellAnchor editAs="oneCell">
    <xdr:from>
      <xdr:col>0</xdr:col>
      <xdr:colOff>160020</xdr:colOff>
      <xdr:row>8</xdr:row>
      <xdr:rowOff>30480</xdr:rowOff>
    </xdr:from>
    <xdr:to>
      <xdr:col>0</xdr:col>
      <xdr:colOff>373380</xdr:colOff>
      <xdr:row>9</xdr:row>
      <xdr:rowOff>89034</xdr:rowOff>
    </xdr:to>
    <xdr:pic>
      <xdr:nvPicPr>
        <xdr:cNvPr id="51" name="Graphic 50" descr="User">
          <a:extLst>
            <a:ext uri="{FF2B5EF4-FFF2-40B4-BE49-F238E27FC236}">
              <a16:creationId xmlns:a16="http://schemas.microsoft.com/office/drawing/2014/main" id="{C7CBECCA-F758-FB94-A855-C17539A745E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020" y="1493520"/>
          <a:ext cx="213360" cy="241434"/>
        </a:xfrm>
        <a:prstGeom prst="rect">
          <a:avLst/>
        </a:prstGeom>
      </xdr:spPr>
    </xdr:pic>
    <xdr:clientData/>
  </xdr:twoCellAnchor>
  <xdr:twoCellAnchor editAs="oneCell">
    <xdr:from>
      <xdr:col>2</xdr:col>
      <xdr:colOff>396240</xdr:colOff>
      <xdr:row>8</xdr:row>
      <xdr:rowOff>45720</xdr:rowOff>
    </xdr:from>
    <xdr:to>
      <xdr:col>3</xdr:col>
      <xdr:colOff>0</xdr:colOff>
      <xdr:row>9</xdr:row>
      <xdr:rowOff>76200</xdr:rowOff>
    </xdr:to>
    <xdr:pic>
      <xdr:nvPicPr>
        <xdr:cNvPr id="53" name="Graphic 52" descr="Hourglass">
          <a:extLst>
            <a:ext uri="{FF2B5EF4-FFF2-40B4-BE49-F238E27FC236}">
              <a16:creationId xmlns:a16="http://schemas.microsoft.com/office/drawing/2014/main" id="{4CB626F4-1E7E-8A1F-31FE-4A3872890F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15440" y="1508760"/>
          <a:ext cx="213360" cy="213360"/>
        </a:xfrm>
        <a:prstGeom prst="rect">
          <a:avLst/>
        </a:prstGeom>
      </xdr:spPr>
    </xdr:pic>
    <xdr:clientData/>
  </xdr:twoCellAnchor>
  <xdr:twoCellAnchor editAs="oneCell">
    <xdr:from>
      <xdr:col>4</xdr:col>
      <xdr:colOff>541020</xdr:colOff>
      <xdr:row>8</xdr:row>
      <xdr:rowOff>45720</xdr:rowOff>
    </xdr:from>
    <xdr:to>
      <xdr:col>5</xdr:col>
      <xdr:colOff>188595</xdr:colOff>
      <xdr:row>9</xdr:row>
      <xdr:rowOff>68580</xdr:rowOff>
    </xdr:to>
    <xdr:pic>
      <xdr:nvPicPr>
        <xdr:cNvPr id="55" name="Graphic 54" descr="Checklist RTL">
          <a:extLst>
            <a:ext uri="{FF2B5EF4-FFF2-40B4-BE49-F238E27FC236}">
              <a16:creationId xmlns:a16="http://schemas.microsoft.com/office/drawing/2014/main" id="{746B72A2-8617-D296-68BE-452F053EC8E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79420" y="1508760"/>
          <a:ext cx="257175" cy="205740"/>
        </a:xfrm>
        <a:prstGeom prst="rect">
          <a:avLst/>
        </a:prstGeom>
      </xdr:spPr>
    </xdr:pic>
    <xdr:clientData/>
  </xdr:twoCellAnchor>
  <xdr:twoCellAnchor editAs="oneCell">
    <xdr:from>
      <xdr:col>0</xdr:col>
      <xdr:colOff>83820</xdr:colOff>
      <xdr:row>3</xdr:row>
      <xdr:rowOff>83820</xdr:rowOff>
    </xdr:from>
    <xdr:to>
      <xdr:col>10</xdr:col>
      <xdr:colOff>434340</xdr:colOff>
      <xdr:row>7</xdr:row>
      <xdr:rowOff>108300</xdr:rowOff>
    </xdr:to>
    <mc:AlternateContent xmlns:mc="http://schemas.openxmlformats.org/markup-compatibility/2006" xmlns:a14="http://schemas.microsoft.com/office/drawing/2010/main">
      <mc:Choice Requires="a14">
        <xdr:graphicFrame macro="">
          <xdr:nvGraphicFramePr>
            <xdr:cNvPr id="4" name="Date (Month) 1">
              <a:extLst>
                <a:ext uri="{FF2B5EF4-FFF2-40B4-BE49-F238E27FC236}">
                  <a16:creationId xmlns:a16="http://schemas.microsoft.com/office/drawing/2014/main" id="{5174ADF3-FFAC-4740-9690-7830B251B90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3820" y="632460"/>
              <a:ext cx="644652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388621</xdr:colOff>
      <xdr:row>8</xdr:row>
      <xdr:rowOff>15240</xdr:rowOff>
    </xdr:from>
    <xdr:to>
      <xdr:col>13</xdr:col>
      <xdr:colOff>541021</xdr:colOff>
      <xdr:row>15</xdr:row>
      <xdr:rowOff>137160</xdr:rowOff>
    </xdr:to>
    <xdr:sp macro="" textlink="">
      <xdr:nvSpPr>
        <xdr:cNvPr id="5" name="Rectangle: Rounded Corners 4">
          <a:extLst>
            <a:ext uri="{FF2B5EF4-FFF2-40B4-BE49-F238E27FC236}">
              <a16:creationId xmlns:a16="http://schemas.microsoft.com/office/drawing/2014/main" id="{F63317B5-DBD4-D902-BF66-16B2EBE7B052}"/>
            </a:ext>
          </a:extLst>
        </xdr:cNvPr>
        <xdr:cNvSpPr/>
      </xdr:nvSpPr>
      <xdr:spPr>
        <a:xfrm>
          <a:off x="6484621" y="1478280"/>
          <a:ext cx="1981200" cy="140208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71845</xdr:colOff>
      <xdr:row>9</xdr:row>
      <xdr:rowOff>15240</xdr:rowOff>
    </xdr:from>
    <xdr:to>
      <xdr:col>2</xdr:col>
      <xdr:colOff>289560</xdr:colOff>
      <xdr:row>13</xdr:row>
      <xdr:rowOff>106680</xdr:rowOff>
    </xdr:to>
    <xdr:graphicFrame macro="">
      <xdr:nvGraphicFramePr>
        <xdr:cNvPr id="17" name="Chart 16">
          <a:hlinkClick xmlns:r="http://schemas.openxmlformats.org/officeDocument/2006/relationships" r:id="rId8"/>
          <a:extLst>
            <a:ext uri="{FF2B5EF4-FFF2-40B4-BE49-F238E27FC236}">
              <a16:creationId xmlns:a16="http://schemas.microsoft.com/office/drawing/2014/main" id="{12A0C036-487C-490B-9526-1E5ABA0E8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182880</xdr:colOff>
      <xdr:row>11</xdr:row>
      <xdr:rowOff>53340</xdr:rowOff>
    </xdr:from>
    <xdr:to>
      <xdr:col>4</xdr:col>
      <xdr:colOff>594360</xdr:colOff>
      <xdr:row>14</xdr:row>
      <xdr:rowOff>53340</xdr:rowOff>
    </xdr:to>
    <xdr:graphicFrame macro="">
      <xdr:nvGraphicFramePr>
        <xdr:cNvPr id="8" name="Chart 7">
          <a:hlinkClick xmlns:r="http://schemas.openxmlformats.org/officeDocument/2006/relationships" r:id="rId10"/>
          <a:extLst>
            <a:ext uri="{FF2B5EF4-FFF2-40B4-BE49-F238E27FC236}">
              <a16:creationId xmlns:a16="http://schemas.microsoft.com/office/drawing/2014/main" id="{2A9F86C0-B618-4B8F-B9D7-99300E2D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388620</xdr:colOff>
      <xdr:row>8</xdr:row>
      <xdr:rowOff>137160</xdr:rowOff>
    </xdr:from>
    <xdr:to>
      <xdr:col>7</xdr:col>
      <xdr:colOff>167640</xdr:colOff>
      <xdr:row>14</xdr:row>
      <xdr:rowOff>30480</xdr:rowOff>
    </xdr:to>
    <xdr:graphicFrame macro="">
      <xdr:nvGraphicFramePr>
        <xdr:cNvPr id="13" name="Chart 12">
          <a:hlinkClick xmlns:r="http://schemas.openxmlformats.org/officeDocument/2006/relationships" r:id="rId12"/>
          <a:extLst>
            <a:ext uri="{FF2B5EF4-FFF2-40B4-BE49-F238E27FC236}">
              <a16:creationId xmlns:a16="http://schemas.microsoft.com/office/drawing/2014/main" id="{F3AABC61-3418-43D1-BE94-C1BDEBCF0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60960</xdr:colOff>
          <xdr:row>13</xdr:row>
          <xdr:rowOff>160020</xdr:rowOff>
        </xdr:from>
        <xdr:to>
          <xdr:col>7</xdr:col>
          <xdr:colOff>129540</xdr:colOff>
          <xdr:row>17</xdr:row>
          <xdr:rowOff>15240</xdr:rowOff>
        </xdr:to>
        <xdr:pic>
          <xdr:nvPicPr>
            <xdr:cNvPr id="23" name="Picture 22">
              <a:extLst>
                <a:ext uri="{FF2B5EF4-FFF2-40B4-BE49-F238E27FC236}">
                  <a16:creationId xmlns:a16="http://schemas.microsoft.com/office/drawing/2014/main" id="{3635F7EA-7A10-9497-D0BF-2689E3220279}"/>
                </a:ext>
              </a:extLst>
            </xdr:cNvPr>
            <xdr:cNvPicPr>
              <a:picLocks noChangeAspect="1" noChangeArrowheads="1"/>
              <a:extLst>
                <a:ext uri="{84589F7E-364E-4C9E-8A38-B11213B215E9}">
                  <a14:cameraTool cellRange="'Pivot report'!$A$45:$D$47" spid="_x0000_s2067"/>
                </a:ext>
              </a:extLst>
            </xdr:cNvPicPr>
          </xdr:nvPicPr>
          <xdr:blipFill>
            <a:blip xmlns:r="http://schemas.openxmlformats.org/officeDocument/2006/relationships" r:embed="rId14"/>
            <a:srcRect/>
            <a:stretch>
              <a:fillRect/>
            </a:stretch>
          </xdr:blipFill>
          <xdr:spPr bwMode="auto">
            <a:xfrm>
              <a:off x="60960" y="2537460"/>
              <a:ext cx="4335780" cy="5867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106680</xdr:colOff>
      <xdr:row>17</xdr:row>
      <xdr:rowOff>167640</xdr:rowOff>
    </xdr:from>
    <xdr:to>
      <xdr:col>7</xdr:col>
      <xdr:colOff>129540</xdr:colOff>
      <xdr:row>24</xdr:row>
      <xdr:rowOff>22860</xdr:rowOff>
    </xdr:to>
    <xdr:graphicFrame macro="">
      <xdr:nvGraphicFramePr>
        <xdr:cNvPr id="24" name="Chart 23">
          <a:extLst>
            <a:ext uri="{FF2B5EF4-FFF2-40B4-BE49-F238E27FC236}">
              <a16:creationId xmlns:a16="http://schemas.microsoft.com/office/drawing/2014/main" id="{AA18BA88-69F2-460C-A417-BF4F3CBF3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274320</xdr:colOff>
      <xdr:row>23</xdr:row>
      <xdr:rowOff>114300</xdr:rowOff>
    </xdr:from>
    <xdr:to>
      <xdr:col>5</xdr:col>
      <xdr:colOff>335280</xdr:colOff>
      <xdr:row>24</xdr:row>
      <xdr:rowOff>114300</xdr:rowOff>
    </xdr:to>
    <xdr:sp macro="" textlink="Dashboard!$A$5">
      <xdr:nvSpPr>
        <xdr:cNvPr id="25" name="TextBox 24">
          <a:extLst>
            <a:ext uri="{FF2B5EF4-FFF2-40B4-BE49-F238E27FC236}">
              <a16:creationId xmlns:a16="http://schemas.microsoft.com/office/drawing/2014/main" id="{A98AC3B8-FEFB-4AB7-BA92-897E22A13DE3}"/>
            </a:ext>
          </a:extLst>
        </xdr:cNvPr>
        <xdr:cNvSpPr txBox="1"/>
      </xdr:nvSpPr>
      <xdr:spPr>
        <a:xfrm>
          <a:off x="1493520" y="4320540"/>
          <a:ext cx="18897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4B9414-FCAE-4BA2-9B85-08D032FFF4D1}" type="TxLink">
            <a:rPr lang="en-US" sz="900" b="1" i="0" u="none" strike="noStrike">
              <a:solidFill>
                <a:srgbClr val="000000"/>
              </a:solidFill>
              <a:latin typeface="Calibri"/>
              <a:ea typeface="Calibri"/>
              <a:cs typeface="Calibri"/>
            </a:rPr>
            <a:pPr algn="ctr"/>
            <a:t> </a:t>
          </a:fld>
          <a:r>
            <a:rPr lang="en-US" sz="900" b="1" i="0" u="none" strike="noStrike">
              <a:solidFill>
                <a:srgbClr val="000000"/>
              </a:solidFill>
              <a:latin typeface="Calibri"/>
              <a:ea typeface="Calibri"/>
              <a:cs typeface="Calibri"/>
            </a:rPr>
            <a:t>No. of Patient by age group</a:t>
          </a:r>
          <a:endParaRPr lang="en-IN" sz="900" b="1"/>
        </a:p>
      </xdr:txBody>
    </xdr:sp>
    <xdr:clientData/>
  </xdr:twoCellAnchor>
  <xdr:twoCellAnchor>
    <xdr:from>
      <xdr:col>7</xdr:col>
      <xdr:colOff>175260</xdr:colOff>
      <xdr:row>7</xdr:row>
      <xdr:rowOff>175260</xdr:rowOff>
    </xdr:from>
    <xdr:to>
      <xdr:col>10</xdr:col>
      <xdr:colOff>335280</xdr:colOff>
      <xdr:row>14</xdr:row>
      <xdr:rowOff>137160</xdr:rowOff>
    </xdr:to>
    <xdr:graphicFrame macro="">
      <xdr:nvGraphicFramePr>
        <xdr:cNvPr id="26" name="Chart 25">
          <a:extLst>
            <a:ext uri="{FF2B5EF4-FFF2-40B4-BE49-F238E27FC236}">
              <a16:creationId xmlns:a16="http://schemas.microsoft.com/office/drawing/2014/main" id="{167AB826-1909-473C-9FC3-1BAFF2E34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68580</xdr:colOff>
      <xdr:row>14</xdr:row>
      <xdr:rowOff>106680</xdr:rowOff>
    </xdr:from>
    <xdr:to>
      <xdr:col>10</xdr:col>
      <xdr:colOff>228600</xdr:colOff>
      <xdr:row>15</xdr:row>
      <xdr:rowOff>152400</xdr:rowOff>
    </xdr:to>
    <xdr:sp macro="" textlink="Dashboard!$A$5">
      <xdr:nvSpPr>
        <xdr:cNvPr id="28" name="TextBox 27">
          <a:extLst>
            <a:ext uri="{FF2B5EF4-FFF2-40B4-BE49-F238E27FC236}">
              <a16:creationId xmlns:a16="http://schemas.microsoft.com/office/drawing/2014/main" id="{7B96DCC4-7EC9-4DFD-8DE5-E77C575606D1}"/>
            </a:ext>
          </a:extLst>
        </xdr:cNvPr>
        <xdr:cNvSpPr txBox="1"/>
      </xdr:nvSpPr>
      <xdr:spPr>
        <a:xfrm>
          <a:off x="4945380" y="2667000"/>
          <a:ext cx="13792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4B9414-FCAE-4BA2-9B85-08D032FFF4D1}" type="TxLink">
            <a:rPr lang="en-US" sz="1000" b="1" i="0" u="none" strike="noStrike">
              <a:solidFill>
                <a:srgbClr val="000000"/>
              </a:solidFill>
              <a:latin typeface="Calibri"/>
              <a:ea typeface="Calibri"/>
              <a:cs typeface="Calibri"/>
            </a:rPr>
            <a:pPr algn="ctr"/>
            <a:t> </a:t>
          </a:fld>
          <a:r>
            <a:rPr lang="en-US" sz="1000" b="1" i="0" u="none" strike="noStrike">
              <a:solidFill>
                <a:srgbClr val="000000"/>
              </a:solidFill>
              <a:latin typeface="Calibri"/>
              <a:ea typeface="Calibri"/>
              <a:cs typeface="Calibri"/>
            </a:rPr>
            <a:t>Patient Attend</a:t>
          </a:r>
          <a:r>
            <a:rPr lang="en-US" sz="1000" b="1" i="0" u="none" strike="noStrike" baseline="0">
              <a:solidFill>
                <a:srgbClr val="000000"/>
              </a:solidFill>
              <a:latin typeface="Calibri"/>
              <a:ea typeface="Calibri"/>
              <a:cs typeface="Calibri"/>
            </a:rPr>
            <a:t> Status</a:t>
          </a:r>
          <a:endParaRPr lang="en-IN" sz="1000" b="1"/>
        </a:p>
      </xdr:txBody>
    </xdr:sp>
    <xdr:clientData/>
  </xdr:twoCellAnchor>
  <xdr:twoCellAnchor>
    <xdr:from>
      <xdr:col>10</xdr:col>
      <xdr:colOff>396240</xdr:colOff>
      <xdr:row>8</xdr:row>
      <xdr:rowOff>7620</xdr:rowOff>
    </xdr:from>
    <xdr:to>
      <xdr:col>13</xdr:col>
      <xdr:colOff>586740</xdr:colOff>
      <xdr:row>14</xdr:row>
      <xdr:rowOff>144780</xdr:rowOff>
    </xdr:to>
    <xdr:graphicFrame macro="">
      <xdr:nvGraphicFramePr>
        <xdr:cNvPr id="30" name="Chart 29">
          <a:extLst>
            <a:ext uri="{FF2B5EF4-FFF2-40B4-BE49-F238E27FC236}">
              <a16:creationId xmlns:a16="http://schemas.microsoft.com/office/drawing/2014/main" id="{73F3A83A-4E73-4A26-BA99-0A8C2A93F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601981</xdr:colOff>
      <xdr:row>14</xdr:row>
      <xdr:rowOff>106680</xdr:rowOff>
    </xdr:from>
    <xdr:to>
      <xdr:col>13</xdr:col>
      <xdr:colOff>152401</xdr:colOff>
      <xdr:row>15</xdr:row>
      <xdr:rowOff>152400</xdr:rowOff>
    </xdr:to>
    <xdr:sp macro="" textlink="Dashboard!$A$5">
      <xdr:nvSpPr>
        <xdr:cNvPr id="32" name="TextBox 31">
          <a:extLst>
            <a:ext uri="{FF2B5EF4-FFF2-40B4-BE49-F238E27FC236}">
              <a16:creationId xmlns:a16="http://schemas.microsoft.com/office/drawing/2014/main" id="{E557C350-D510-40DB-87AA-B23346BCACE0}"/>
            </a:ext>
          </a:extLst>
        </xdr:cNvPr>
        <xdr:cNvSpPr txBox="1"/>
      </xdr:nvSpPr>
      <xdr:spPr>
        <a:xfrm>
          <a:off x="6697981" y="2667000"/>
          <a:ext cx="13792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4B9414-FCAE-4BA2-9B85-08D032FFF4D1}" type="TxLink">
            <a:rPr lang="en-US" sz="1000" b="1" i="0" u="none" strike="noStrike">
              <a:solidFill>
                <a:srgbClr val="000000"/>
              </a:solidFill>
              <a:latin typeface="Calibri"/>
              <a:ea typeface="Calibri"/>
              <a:cs typeface="Calibri"/>
            </a:rPr>
            <a:pPr algn="ctr"/>
            <a:t> </a:t>
          </a:fld>
          <a:r>
            <a:rPr lang="en-US" sz="1000" b="1" i="0" u="none" strike="noStrike">
              <a:solidFill>
                <a:srgbClr val="000000"/>
              </a:solidFill>
              <a:latin typeface="Calibri"/>
              <a:ea typeface="Calibri"/>
              <a:cs typeface="Calibri"/>
            </a:rPr>
            <a:t>Gender</a:t>
          </a:r>
          <a:r>
            <a:rPr lang="en-US" sz="1000" b="1" i="0" u="none" strike="noStrike" baseline="0">
              <a:solidFill>
                <a:srgbClr val="000000"/>
              </a:solidFill>
              <a:latin typeface="Calibri"/>
              <a:ea typeface="Calibri"/>
              <a:cs typeface="Calibri"/>
            </a:rPr>
            <a:t> Wise Analysis</a:t>
          </a:r>
          <a:endParaRPr lang="en-IN" sz="1000" b="1"/>
        </a:p>
      </xdr:txBody>
    </xdr:sp>
    <xdr:clientData/>
  </xdr:twoCellAnchor>
  <xdr:twoCellAnchor>
    <xdr:from>
      <xdr:col>7</xdr:col>
      <xdr:colOff>167640</xdr:colOff>
      <xdr:row>16</xdr:row>
      <xdr:rowOff>68580</xdr:rowOff>
    </xdr:from>
    <xdr:to>
      <xdr:col>13</xdr:col>
      <xdr:colOff>563880</xdr:colOff>
      <xdr:row>23</xdr:row>
      <xdr:rowOff>99060</xdr:rowOff>
    </xdr:to>
    <xdr:graphicFrame macro="">
      <xdr:nvGraphicFramePr>
        <xdr:cNvPr id="33" name="Chart 32">
          <a:extLst>
            <a:ext uri="{FF2B5EF4-FFF2-40B4-BE49-F238E27FC236}">
              <a16:creationId xmlns:a16="http://schemas.microsoft.com/office/drawing/2014/main" id="{ED87A6DE-E3A2-482E-8E95-1766E8FE9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30480</xdr:colOff>
      <xdr:row>23</xdr:row>
      <xdr:rowOff>91440</xdr:rowOff>
    </xdr:from>
    <xdr:to>
      <xdr:col>12</xdr:col>
      <xdr:colOff>220980</xdr:colOff>
      <xdr:row>24</xdr:row>
      <xdr:rowOff>91440</xdr:rowOff>
    </xdr:to>
    <xdr:sp macro="" textlink="Dashboard!$A$5">
      <xdr:nvSpPr>
        <xdr:cNvPr id="34" name="TextBox 33">
          <a:extLst>
            <a:ext uri="{FF2B5EF4-FFF2-40B4-BE49-F238E27FC236}">
              <a16:creationId xmlns:a16="http://schemas.microsoft.com/office/drawing/2014/main" id="{5CEE3D22-CE85-424B-9CBB-6145163300B9}"/>
            </a:ext>
          </a:extLst>
        </xdr:cNvPr>
        <xdr:cNvSpPr txBox="1"/>
      </xdr:nvSpPr>
      <xdr:spPr>
        <a:xfrm>
          <a:off x="4907280" y="4297680"/>
          <a:ext cx="2628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0" u="none" strike="noStrike">
              <a:solidFill>
                <a:srgbClr val="000000"/>
              </a:solidFill>
              <a:latin typeface="Calibri"/>
              <a:ea typeface="Calibri"/>
              <a:cs typeface="Calibri"/>
            </a:rPr>
            <a:t>No. of Patient by Department Referal</a:t>
          </a:r>
          <a:endParaRPr lang="en-IN" sz="1000" b="1"/>
        </a:p>
      </xdr:txBody>
    </xdr:sp>
    <xdr:clientData/>
  </xdr:twoCellAnchor>
  <xdr:twoCellAnchor editAs="oneCell">
    <xdr:from>
      <xdr:col>10</xdr:col>
      <xdr:colOff>510540</xdr:colOff>
      <xdr:row>3</xdr:row>
      <xdr:rowOff>83821</xdr:rowOff>
    </xdr:from>
    <xdr:to>
      <xdr:col>13</xdr:col>
      <xdr:colOff>537766</xdr:colOff>
      <xdr:row>7</xdr:row>
      <xdr:rowOff>144301</xdr:rowOff>
    </xdr:to>
    <mc:AlternateContent xmlns:mc="http://schemas.openxmlformats.org/markup-compatibility/2006" xmlns:a14="http://schemas.microsoft.com/office/drawing/2010/main">
      <mc:Choice Requires="a14">
        <xdr:graphicFrame macro="">
          <xdr:nvGraphicFramePr>
            <xdr:cNvPr id="35" name="Date (Year)">
              <a:extLst>
                <a:ext uri="{FF2B5EF4-FFF2-40B4-BE49-F238E27FC236}">
                  <a16:creationId xmlns:a16="http://schemas.microsoft.com/office/drawing/2014/main" id="{6CE73150-B2D7-43EB-B23C-356703356C7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606540" y="632461"/>
              <a:ext cx="1856026"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38100</xdr:colOff>
      <xdr:row>14</xdr:row>
      <xdr:rowOff>7620</xdr:rowOff>
    </xdr:to>
    <xdr:graphicFrame macro="">
      <xdr:nvGraphicFramePr>
        <xdr:cNvPr id="2" name="Chart 1">
          <a:extLst>
            <a:ext uri="{FF2B5EF4-FFF2-40B4-BE49-F238E27FC236}">
              <a16:creationId xmlns:a16="http://schemas.microsoft.com/office/drawing/2014/main" id="{8DE20C95-E0AA-406C-AE36-7D6D1D85C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0.03927</cdr:x>
      <cdr:y>0.08889</cdr:y>
    </cdr:from>
    <cdr:to>
      <cdr:x>0.09818</cdr:x>
      <cdr:y>0.20556</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D9B02A-27A6-2E4A-D3AC-439F550BA2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13360" y="243840"/>
          <a:ext cx="320040" cy="3200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403860</xdr:colOff>
      <xdr:row>12</xdr:row>
      <xdr:rowOff>121920</xdr:rowOff>
    </xdr:to>
    <xdr:graphicFrame macro="">
      <xdr:nvGraphicFramePr>
        <xdr:cNvPr id="4" name="Chart 3">
          <a:extLst>
            <a:ext uri="{FF2B5EF4-FFF2-40B4-BE49-F238E27FC236}">
              <a16:creationId xmlns:a16="http://schemas.microsoft.com/office/drawing/2014/main" id="{47579128-A22C-4E06-A46C-1D676F5C8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0.01641</cdr:x>
      <cdr:y>0</cdr:y>
    </cdr:from>
    <cdr:to>
      <cdr:x>0.06565</cdr:x>
      <cdr:y>0.13816</cdr:y>
    </cdr:to>
    <cdr:pic>
      <cdr:nvPicPr>
        <cdr:cNvPr id="3" name="Graphic 2" descr="Home">
          <a:extLst xmlns:a="http://schemas.openxmlformats.org/drawingml/2006/main">
            <a:ext uri="{FF2B5EF4-FFF2-40B4-BE49-F238E27FC236}">
              <a16:creationId xmlns:a16="http://schemas.microsoft.com/office/drawing/2014/main" id="{A9E7FA48-DE11-BA4E-8F42-9578541822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6680" y="0"/>
          <a:ext cx="320040" cy="3200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289560</xdr:colOff>
      <xdr:row>0</xdr:row>
      <xdr:rowOff>15240</xdr:rowOff>
    </xdr:from>
    <xdr:to>
      <xdr:col>9</xdr:col>
      <xdr:colOff>68580</xdr:colOff>
      <xdr:row>16</xdr:row>
      <xdr:rowOff>53340</xdr:rowOff>
    </xdr:to>
    <xdr:graphicFrame macro="">
      <xdr:nvGraphicFramePr>
        <xdr:cNvPr id="4" name="Chart 3">
          <a:extLst>
            <a:ext uri="{FF2B5EF4-FFF2-40B4-BE49-F238E27FC236}">
              <a16:creationId xmlns:a16="http://schemas.microsoft.com/office/drawing/2014/main" id="{5CC0EE96-FBEF-4D39-8EDB-61772753D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0.00965</cdr:x>
      <cdr:y>0.05056</cdr:y>
    </cdr:from>
    <cdr:to>
      <cdr:x>0.07043</cdr:x>
      <cdr:y>0.15853</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2380858-016F-76AD-CEB3-BDC65AEF5BA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149860"/>
          <a:ext cx="320053" cy="32004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2152778" createdVersion="5" refreshedVersion="8" minRefreshableVersion="3" recordCount="0" supportSubquery="1" supportAdvancedDrill="1" xr:uid="{62443AA4-95AF-4AFB-A234-A7F2F641CE06}">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2268517" createdVersion="5" refreshedVersion="8" minRefreshableVersion="3" recordCount="0" supportSubquery="1" supportAdvancedDrill="1" xr:uid="{34A24BFF-D52C-4900-AF4F-BB2B0A146E78}">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2384256" createdVersion="5" refreshedVersion="8" minRefreshableVersion="3" recordCount="0" supportSubquery="1" supportAdvancedDrill="1" xr:uid="{F2EAF360-A51D-4DBD-BC68-0DB1E7AA2BB8}">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261574" createdVersion="5" refreshedVersion="8" minRefreshableVersion="3" recordCount="0" supportSubquery="1" supportAdvancedDrill="1" xr:uid="{E019B6B1-0A75-4F09-9BC4-626F5C7D20FD}">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3078702" createdVersion="5" refreshedVersion="8" minRefreshableVersion="3" recordCount="0" supportSubquery="1" supportAdvancedDrill="1" xr:uid="{8E43994A-EC9D-4D24-A7A5-4612F62AC942}">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365741" createdVersion="5" refreshedVersion="8" minRefreshableVersion="3" recordCount="0" supportSubquery="1" supportAdvancedDrill="1" xr:uid="{BA773072-9252-488F-9DFC-ABAC4CB1A570}">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4120372" createdVersion="5" refreshedVersion="8" minRefreshableVersion="3" recordCount="0" supportSubquery="1" supportAdvancedDrill="1" xr:uid="{ACA74682-8B5B-489E-8FAD-85F644502B63}">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4467595" createdVersion="5" refreshedVersion="8" minRefreshableVersion="3" recordCount="0" supportSubquery="1" supportAdvancedDrill="1" xr:uid="{887D9AFF-646F-4E5E-8E46-E1DE83D81BE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 -19"/>
        <s v="20 -29"/>
        <s v="30 -39"/>
        <s v="40 -49"/>
        <s v="50 -59"/>
        <s v="60 -69"/>
        <s v="70 -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4814811" createdVersion="5" refreshedVersion="8" minRefreshableVersion="3" recordCount="0" supportSubquery="1" supportAdvancedDrill="1" xr:uid="{85B9D221-1CB3-42A2-9516-9DEA9C495C2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5162035" createdVersion="5" refreshedVersion="8" minRefreshableVersion="3" recordCount="0" supportSubquery="1" supportAdvancedDrill="1" xr:uid="{5B81E7D5-0DE8-43CD-A65A-AB3DDB4F63B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5509258" createdVersion="5" refreshedVersion="8" minRefreshableVersion="3" recordCount="0" supportSubquery="1" supportAdvancedDrill="1" xr:uid="{99DE60B5-CEBF-4158-94E2-7A9954DBC049}">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861865856481" createdVersion="5" refreshedVersion="8" minRefreshableVersion="3" recordCount="0" supportSubquery="1" supportAdvancedDrill="1" xr:uid="{CDD8F77C-4CE4-4D1F-BF10-CB6B029BD163}">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hitra" refreshedDate="46224.681661342591" createdVersion="3" refreshedVersion="8" minRefreshableVersion="3" recordCount="0" supportSubquery="1" supportAdvancedDrill="1" xr:uid="{6E4FE636-3566-4D55-994E-F85DB4319653}">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16627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30C5E-E433-408A-A3AF-14853F0CF06B}" name="PivotTable11" cacheId="585"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76">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193">
      <pivotArea outline="0" collapsedLevelsAreSubtotals="1" fieldPosition="0"/>
    </format>
    <format dxfId="192">
      <pivotArea collapsedLevelsAreSubtotals="1" fieldPosition="0">
        <references count="1">
          <reference field="1" count="0"/>
        </references>
      </pivotArea>
    </format>
  </formats>
  <chartFormats count="1">
    <chartFormat chart="7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E0590C-251F-493D-8A38-930AF98F1747}" name="PivotTable10" cacheId="582"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72">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94">
      <pivotArea outline="0" collapsedLevelsAreSubtotals="1" fieldPosition="0"/>
    </format>
  </formats>
  <chartFormats count="3">
    <chartFormat chart="70" format="4" series="1">
      <pivotArea type="data" outline="0" fieldPosition="0">
        <references count="1">
          <reference field="4294967294" count="1" selected="0">
            <x v="0"/>
          </reference>
        </references>
      </pivotArea>
    </chartFormat>
    <chartFormat chart="70" format="5">
      <pivotArea type="data" outline="0" fieldPosition="0">
        <references count="2">
          <reference field="4294967294" count="1" selected="0">
            <x v="0"/>
          </reference>
          <reference field="1" count="1" selected="0">
            <x v="0"/>
          </reference>
        </references>
      </pivotArea>
    </chartFormat>
    <chartFormat chart="7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639B26-10E8-40E6-8F26-869433877561}" name="PivotTable8" cacheId="573"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43">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96">
      <pivotArea outline="0" collapsedLevelsAreSubtotals="1" fieldPosition="0"/>
    </format>
    <format dxfId="195">
      <pivotArea outline="0" fieldPosition="0">
        <references count="1">
          <reference field="4294967294" count="1">
            <x v="1"/>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2" count="1" selected="0">
            <x v="1"/>
          </reference>
        </references>
      </pivotArea>
    </chartFormat>
    <chartFormat chart="3" format="13">
      <pivotArea type="data" outline="0" fieldPosition="0">
        <references count="2">
          <reference field="4294967294" count="1" selected="0">
            <x v="1"/>
          </reference>
          <reference field="2"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80EAA-CC01-4F80-99F6-E39646848664}" name="PivotTable6" cacheId="576"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47">
  <location ref="A50:B59"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97">
      <pivotArea outline="0" collapsedLevelsAreSubtotals="1" fieldPosition="0"/>
    </format>
  </formats>
  <chartFormats count="1">
    <chartFormat chart="4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EE7FA8-8F26-4119-B758-551525438F6A}" name="PivotTable4" cacheId="555" applyNumberFormats="0" applyBorderFormats="0" applyFontFormats="0" applyPatternFormats="0" applyAlignmentFormats="0" applyWidthHeightFormats="1" dataCaption="Values" tag="f92ba06c-b6c8-4de3-8d4d-1f7c37c60eff" updatedVersion="8" minRefreshableVersion="3" subtotalHiddenItems="1" itemPrintTitles="1" createdVersion="5" indent="0" outline="1" outlineData="1" multipleFieldFilters="0" chartFormat="45">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1">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42" format="11" series="1">
      <pivotArea type="data" outline="0" fieldPosition="0">
        <references count="1">
          <reference field="4294967294" count="1" selected="0">
            <x v="0"/>
          </reference>
        </references>
      </pivotArea>
    </chartFormat>
    <chartFormat chart="43" format="1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AC8111-FCD7-43AD-ABAE-9918006C621A}" name="PivotTable12" cacheId="588"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76">
  <location ref="A92:A9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98">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9C93E6-DEE2-4AFA-B539-861B5DED19E6}" name="PivotTable9" cacheId="579"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chartFormat="72">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99">
      <pivotArea outline="0" collapsedLevelsAreSubtotals="1" fieldPosition="0"/>
    </format>
  </formats>
  <chartFormats count="3">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1" count="1" selected="0">
            <x v="0"/>
          </reference>
        </references>
      </pivotArea>
    </chartFormat>
    <chartFormat chart="5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27B2ED-525A-4DAC-893D-9E5D3DCCC4B6}" name="PivotTable2" cacheId="561" applyNumberFormats="0" applyBorderFormats="0" applyFontFormats="0" applyPatternFormats="0" applyAlignmentFormats="0" applyWidthHeightFormats="1" dataCaption="Values" tag="c69bb516-16d6-4d4c-a492-8caf44622565"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00">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599464-652E-4C3C-A84B-1F18B6141E7E}" name="PivotTable5" cacheId="567" applyNumberFormats="0" applyBorderFormats="0" applyFontFormats="0" applyPatternFormats="0" applyAlignmentFormats="0" applyWidthHeightFormats="1" dataCaption="Values" tag="f92ba06c-b6c8-4de3-8d4d-1f7c37c60eff" updatedVersion="8" minRefreshableVersion="3" subtotalHiddenItems="1" itemPrintTitles="1" createdVersion="5" indent="0" outline="1" outlineData="1" multipleFieldFilters="0" chartFormat="76">
  <location ref="F4:G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201">
      <pivotArea outline="0" collapsedLevelsAreSubtotals="1" fieldPosition="0"/>
    </format>
  </formats>
  <chartFormats count="7">
    <chartFormat chart="48" format="2"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65" format="9" series="1">
      <pivotArea type="data" outline="0" fieldPosition="0">
        <references count="1">
          <reference field="4294967294" count="1" selected="0">
            <x v="0"/>
          </reference>
        </references>
      </pivotArea>
    </chartFormat>
    <chartFormat chart="66" format="10" series="1">
      <pivotArea type="data" outline="0" fieldPosition="0">
        <references count="1">
          <reference field="4294967294" count="1" selected="0">
            <x v="0"/>
          </reference>
        </references>
      </pivotArea>
    </chartFormat>
    <chartFormat chart="68" format="10" series="1">
      <pivotArea type="data" outline="0" fieldPosition="0">
        <references count="1">
          <reference field="4294967294" count="1" selected="0">
            <x v="0"/>
          </reference>
        </references>
      </pivotArea>
    </chartFormat>
    <chartFormat chart="71" format="1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ED6946-158A-4895-8E8E-4F6CCCF1C636}" name="PivotTable3" cacheId="564" applyNumberFormats="0" applyBorderFormats="0" applyFontFormats="0" applyPatternFormats="0" applyAlignmentFormats="0" applyWidthHeightFormats="1" dataCaption="Values" tag="8349613d-01cc-4425-b168-322cff88c068"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2">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2462A2-7A68-4D24-8F3A-DC714556D772}" name="PivotTable1" cacheId="558" applyNumberFormats="0" applyBorderFormats="0" applyFontFormats="0" applyPatternFormats="0" applyAlignmentFormats="0" applyWidthHeightFormats="1" dataCaption="Values" tag="64316b30-0573-498f-b505-15b25bc5c4f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CE16CA-E040-4265-A582-CF9F39D848B3}" name="PivotTable7" cacheId="570" applyNumberFormats="0" applyBorderFormats="0" applyFontFormats="0" applyPatternFormats="0" applyAlignmentFormats="0" applyWidthHeightFormats="1" dataCaption="Values" tag="f92ba06c-b6c8-4de3-8d4d-1f7c37c60eff" updatedVersion="8" minRefreshableVersion="3" subtotalHiddenItems="1" itemPrintTitles="1" createdVersion="5" indent="0" outline="1" outlineData="1" multipleFieldFilters="0" chartFormat="93">
  <location ref="I4:J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203">
      <pivotArea outline="0" collapsedLevelsAreSubtotals="1" fieldPosition="0"/>
    </format>
  </formats>
  <chartFormats count="7">
    <chartFormat chart="76"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 chart="83" format="4" series="1">
      <pivotArea type="data" outline="0" fieldPosition="0">
        <references count="1">
          <reference field="4294967294" count="1" selected="0">
            <x v="0"/>
          </reference>
        </references>
      </pivotArea>
    </chartFormat>
    <chartFormat chart="86" format="6" series="1">
      <pivotArea type="data" outline="0" fieldPosition="0">
        <references count="1">
          <reference field="4294967294" count="1" selected="0">
            <x v="0"/>
          </reference>
        </references>
      </pivotArea>
    </chartFormat>
    <chartFormat chart="89" format="7" series="1">
      <pivotArea type="data" outline="0" fieldPosition="0">
        <references count="1">
          <reference field="4294967294" count="1" selected="0">
            <x v="0"/>
          </reference>
        </references>
      </pivotArea>
    </chartFormat>
    <chartFormat chart="90" format="8" series="1">
      <pivotArea type="data" outline="0" fieldPosition="0">
        <references count="1">
          <reference field="4294967294" count="1" selected="0">
            <x v="0"/>
          </reference>
        </references>
      </pivotArea>
    </chartFormat>
    <chartFormat chart="92"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AAE7F0-F42F-46C4-BE8E-A038F6CC4E25}" sourceName="[Calendar_Table].[Date (Month)]">
  <pivotTables>
    <pivotTable tabId="1" name="PivotTable4"/>
    <pivotTable tabId="1" name="PivotTable1"/>
    <pivotTable tabId="1" name="PivotTable2"/>
    <pivotTable tabId="1" name="PivotTable3"/>
    <pivotTable tabId="1" name="PivotTable5"/>
    <pivotTable tabId="1" name="PivotTable7"/>
    <pivotTable tabId="1" name="PivotTable8"/>
    <pivotTable tabId="1" name="PivotTable6"/>
    <pivotTable tabId="1" name="PivotTable9"/>
    <pivotTable tabId="1" name="PivotTable10"/>
    <pivotTable tabId="1" name="PivotTable11"/>
    <pivotTable tabId="1" name="PivotTable12"/>
  </pivotTables>
  <data>
    <olap pivotCacheId="181662732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78670C1-8342-47E4-969F-637F26FE2F7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1662732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11AB0B7-08A8-4602-86E1-0FD697E817F5}" cache="Slicer_Date__Month" caption="Date (Month)" columnCount="12" showCaption="0" level="1" style="mstyle 2 2 2 2" rowHeight="576000"/>
  <slicer name="Date (Year)" xr10:uid="{2E165F7C-DFDA-4013-8748-DBEA19F2EC49}" cache="Slicer_Date__Year" caption="Date (Year)" columnCount="2" showCaption="0" level="1" style="Sho"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54EE-25A6-4BEF-8603-ABF5B30F6C6E}">
  <dimension ref="A3:J94"/>
  <sheetViews>
    <sheetView topLeftCell="A28" zoomScale="70" zoomScaleNormal="70" workbookViewId="0">
      <selection activeCell="F48" sqref="F48"/>
    </sheetView>
  </sheetViews>
  <sheetFormatPr defaultRowHeight="14.4" x14ac:dyDescent="0.3"/>
  <cols>
    <col min="1" max="1" width="16.109375" customWidth="1"/>
    <col min="2" max="2" width="25.5546875" customWidth="1"/>
    <col min="3" max="3" width="8.88671875" customWidth="1"/>
    <col min="4" max="4" width="30.6640625" customWidth="1"/>
    <col min="7" max="7" width="23.88671875" bestFit="1" customWidth="1"/>
    <col min="10" max="10" width="25" bestFit="1" customWidth="1"/>
  </cols>
  <sheetData>
    <row r="3" spans="1:10" x14ac:dyDescent="0.3">
      <c r="A3" t="s">
        <v>1</v>
      </c>
      <c r="C3" t="s">
        <v>6</v>
      </c>
      <c r="F3" t="s">
        <v>7</v>
      </c>
      <c r="I3" t="s">
        <v>11</v>
      </c>
    </row>
    <row r="4" spans="1:10" x14ac:dyDescent="0.3">
      <c r="A4" t="s">
        <v>0</v>
      </c>
      <c r="C4" s="3" t="s">
        <v>4</v>
      </c>
      <c r="D4" t="s">
        <v>0</v>
      </c>
      <c r="F4" s="3" t="s">
        <v>4</v>
      </c>
      <c r="G4" t="s">
        <v>2</v>
      </c>
      <c r="I4" s="3" t="s">
        <v>4</v>
      </c>
      <c r="J4" t="s">
        <v>3</v>
      </c>
    </row>
    <row r="5" spans="1:10" x14ac:dyDescent="0.3">
      <c r="A5" s="15">
        <v>431</v>
      </c>
      <c r="C5" s="4" t="s">
        <v>48</v>
      </c>
      <c r="D5" s="15">
        <v>13</v>
      </c>
      <c r="F5" s="4" t="s">
        <v>48</v>
      </c>
      <c r="G5" s="1">
        <v>35.692307692307693</v>
      </c>
      <c r="I5" s="4" t="s">
        <v>48</v>
      </c>
      <c r="J5" s="1">
        <v>4.166666666666667</v>
      </c>
    </row>
    <row r="6" spans="1:10" x14ac:dyDescent="0.3">
      <c r="C6" s="4" t="s">
        <v>49</v>
      </c>
      <c r="D6" s="15">
        <v>10</v>
      </c>
      <c r="F6" s="4" t="s">
        <v>49</v>
      </c>
      <c r="G6" s="1">
        <v>45.4</v>
      </c>
      <c r="I6" s="4" t="s">
        <v>49</v>
      </c>
      <c r="J6" s="1">
        <v>5.75</v>
      </c>
    </row>
    <row r="7" spans="1:10" x14ac:dyDescent="0.3">
      <c r="C7" s="4" t="s">
        <v>50</v>
      </c>
      <c r="D7" s="15">
        <v>8</v>
      </c>
      <c r="F7" s="4" t="s">
        <v>50</v>
      </c>
      <c r="G7" s="1">
        <v>29.375</v>
      </c>
      <c r="I7" s="4" t="s">
        <v>50</v>
      </c>
      <c r="J7" s="1">
        <v>4.75</v>
      </c>
    </row>
    <row r="8" spans="1:10" x14ac:dyDescent="0.3">
      <c r="C8" s="4" t="s">
        <v>51</v>
      </c>
      <c r="D8" s="15">
        <v>12</v>
      </c>
      <c r="F8" s="4" t="s">
        <v>51</v>
      </c>
      <c r="G8" s="1">
        <v>34.583333333333336</v>
      </c>
      <c r="I8" s="4" t="s">
        <v>51</v>
      </c>
      <c r="J8" s="1">
        <v>7</v>
      </c>
    </row>
    <row r="9" spans="1:10" x14ac:dyDescent="0.3">
      <c r="A9" t="s">
        <v>2</v>
      </c>
      <c r="C9" s="4" t="s">
        <v>52</v>
      </c>
      <c r="D9" s="15">
        <v>19</v>
      </c>
      <c r="F9" s="4" t="s">
        <v>52</v>
      </c>
      <c r="G9" s="1">
        <v>38.684210526315788</v>
      </c>
      <c r="I9" s="4" t="s">
        <v>52</v>
      </c>
      <c r="J9" s="1">
        <v>3.1428571428571428</v>
      </c>
    </row>
    <row r="10" spans="1:10" x14ac:dyDescent="0.3">
      <c r="A10" s="1">
        <v>36.670533642691417</v>
      </c>
      <c r="C10" s="4" t="s">
        <v>53</v>
      </c>
      <c r="D10" s="15">
        <v>9</v>
      </c>
      <c r="F10" s="4" t="s">
        <v>53</v>
      </c>
      <c r="G10" s="1">
        <v>34.777777777777779</v>
      </c>
      <c r="I10" s="4" t="s">
        <v>53</v>
      </c>
      <c r="J10" s="1">
        <v>8</v>
      </c>
    </row>
    <row r="11" spans="1:10" x14ac:dyDescent="0.3">
      <c r="C11" s="4" t="s">
        <v>54</v>
      </c>
      <c r="D11" s="15">
        <v>13</v>
      </c>
      <c r="F11" s="4" t="s">
        <v>54</v>
      </c>
      <c r="G11" s="1">
        <v>37.307692307692307</v>
      </c>
      <c r="I11" s="4" t="s">
        <v>54</v>
      </c>
      <c r="J11" s="1">
        <v>5.25</v>
      </c>
    </row>
    <row r="12" spans="1:10" x14ac:dyDescent="0.3">
      <c r="C12" s="4" t="s">
        <v>55</v>
      </c>
      <c r="D12" s="15">
        <v>19</v>
      </c>
      <c r="F12" s="4" t="s">
        <v>55</v>
      </c>
      <c r="G12" s="1">
        <v>35.631578947368418</v>
      </c>
      <c r="I12" s="4" t="s">
        <v>55</v>
      </c>
      <c r="J12" s="1">
        <v>4.5714285714285712</v>
      </c>
    </row>
    <row r="13" spans="1:10" x14ac:dyDescent="0.3">
      <c r="A13" t="s">
        <v>3</v>
      </c>
      <c r="C13" s="4" t="s">
        <v>56</v>
      </c>
      <c r="D13" s="15">
        <v>10</v>
      </c>
      <c r="F13" s="4" t="s">
        <v>56</v>
      </c>
      <c r="G13" s="1">
        <v>36.6</v>
      </c>
      <c r="I13" s="4" t="s">
        <v>56</v>
      </c>
      <c r="J13" s="1">
        <v>2.75</v>
      </c>
    </row>
    <row r="14" spans="1:10" x14ac:dyDescent="0.3">
      <c r="A14" s="1">
        <v>4.7154471544715451</v>
      </c>
      <c r="C14" s="4" t="s">
        <v>57</v>
      </c>
      <c r="D14" s="15">
        <v>20</v>
      </c>
      <c r="F14" s="4" t="s">
        <v>57</v>
      </c>
      <c r="G14" s="1">
        <v>39.700000000000003</v>
      </c>
      <c r="I14" s="4" t="s">
        <v>57</v>
      </c>
      <c r="J14" s="1">
        <v>4.5</v>
      </c>
    </row>
    <row r="15" spans="1:10" x14ac:dyDescent="0.3">
      <c r="C15" s="4" t="s">
        <v>58</v>
      </c>
      <c r="D15" s="15">
        <v>15</v>
      </c>
      <c r="F15" s="4" t="s">
        <v>58</v>
      </c>
      <c r="G15" s="1">
        <v>37.4</v>
      </c>
      <c r="I15" s="4" t="s">
        <v>58</v>
      </c>
      <c r="J15" s="1">
        <v>5.5</v>
      </c>
    </row>
    <row r="16" spans="1:10" x14ac:dyDescent="0.3">
      <c r="C16" s="4" t="s">
        <v>59</v>
      </c>
      <c r="D16" s="15">
        <v>13</v>
      </c>
      <c r="F16" s="4" t="s">
        <v>59</v>
      </c>
      <c r="G16" s="1">
        <v>27.76923076923077</v>
      </c>
      <c r="I16" s="4" t="s">
        <v>59</v>
      </c>
      <c r="J16" s="1">
        <v>5.6</v>
      </c>
    </row>
    <row r="17" spans="1:10" x14ac:dyDescent="0.3">
      <c r="A17" s="6"/>
      <c r="C17" s="4" t="s">
        <v>60</v>
      </c>
      <c r="D17" s="15">
        <v>9</v>
      </c>
      <c r="F17" s="4" t="s">
        <v>60</v>
      </c>
      <c r="G17" s="1">
        <v>38.777777777777779</v>
      </c>
      <c r="I17" s="4" t="s">
        <v>60</v>
      </c>
      <c r="J17" s="1">
        <v>5.75</v>
      </c>
    </row>
    <row r="18" spans="1:10" x14ac:dyDescent="0.3">
      <c r="C18" s="4" t="s">
        <v>61</v>
      </c>
      <c r="D18" s="15">
        <v>19</v>
      </c>
      <c r="F18" s="4" t="s">
        <v>61</v>
      </c>
      <c r="G18" s="1">
        <v>31</v>
      </c>
      <c r="I18" s="4" t="s">
        <v>61</v>
      </c>
      <c r="J18" s="1">
        <v>3.4444444444444446</v>
      </c>
    </row>
    <row r="19" spans="1:10" x14ac:dyDescent="0.3">
      <c r="C19" s="4" t="s">
        <v>62</v>
      </c>
      <c r="D19" s="15">
        <v>14</v>
      </c>
      <c r="F19" s="4" t="s">
        <v>62</v>
      </c>
      <c r="G19" s="1">
        <v>35.928571428571431</v>
      </c>
      <c r="I19" s="4" t="s">
        <v>62</v>
      </c>
      <c r="J19" s="1">
        <v>1.5</v>
      </c>
    </row>
    <row r="20" spans="1:10" x14ac:dyDescent="0.3">
      <c r="C20" s="4" t="s">
        <v>63</v>
      </c>
      <c r="D20" s="15">
        <v>17</v>
      </c>
      <c r="F20" s="4" t="s">
        <v>63</v>
      </c>
      <c r="G20" s="1">
        <v>37.882352941176471</v>
      </c>
      <c r="I20" s="4" t="s">
        <v>63</v>
      </c>
      <c r="J20" s="1">
        <v>3.6666666666666665</v>
      </c>
    </row>
    <row r="21" spans="1:10" x14ac:dyDescent="0.3">
      <c r="C21" s="4" t="s">
        <v>64</v>
      </c>
      <c r="D21" s="15">
        <v>17</v>
      </c>
      <c r="F21" s="4" t="s">
        <v>64</v>
      </c>
      <c r="G21" s="1">
        <v>40.588235294117645</v>
      </c>
      <c r="I21" s="4" t="s">
        <v>64</v>
      </c>
      <c r="J21" s="1">
        <v>4.4285714285714288</v>
      </c>
    </row>
    <row r="22" spans="1:10" x14ac:dyDescent="0.3">
      <c r="C22" s="4" t="s">
        <v>65</v>
      </c>
      <c r="D22" s="15">
        <v>15</v>
      </c>
      <c r="F22" s="4" t="s">
        <v>65</v>
      </c>
      <c r="G22" s="1">
        <v>34.533333333333331</v>
      </c>
      <c r="I22" s="4" t="s">
        <v>65</v>
      </c>
      <c r="J22" s="1">
        <v>6</v>
      </c>
    </row>
    <row r="23" spans="1:10" x14ac:dyDescent="0.3">
      <c r="C23" s="4" t="s">
        <v>66</v>
      </c>
      <c r="D23" s="15">
        <v>9</v>
      </c>
      <c r="F23" s="4" t="s">
        <v>66</v>
      </c>
      <c r="G23" s="1">
        <v>40.333333333333336</v>
      </c>
      <c r="I23" s="4" t="s">
        <v>66</v>
      </c>
      <c r="J23" s="1">
        <v>2.6666666666666665</v>
      </c>
    </row>
    <row r="24" spans="1:10" x14ac:dyDescent="0.3">
      <c r="C24" s="4" t="s">
        <v>67</v>
      </c>
      <c r="D24" s="15">
        <v>14</v>
      </c>
      <c r="F24" s="4" t="s">
        <v>67</v>
      </c>
      <c r="G24" s="1">
        <v>35.285714285714285</v>
      </c>
      <c r="I24" s="4" t="s">
        <v>67</v>
      </c>
      <c r="J24" s="1">
        <v>7.5</v>
      </c>
    </row>
    <row r="25" spans="1:10" x14ac:dyDescent="0.3">
      <c r="C25" s="4" t="s">
        <v>68</v>
      </c>
      <c r="D25" s="15">
        <v>22</v>
      </c>
      <c r="F25" s="4" t="s">
        <v>68</v>
      </c>
      <c r="G25" s="1">
        <v>35.5</v>
      </c>
      <c r="I25" s="4" t="s">
        <v>68</v>
      </c>
      <c r="J25" s="1">
        <v>4.5</v>
      </c>
    </row>
    <row r="26" spans="1:10" x14ac:dyDescent="0.3">
      <c r="C26" s="4" t="s">
        <v>69</v>
      </c>
      <c r="D26" s="15">
        <v>16</v>
      </c>
      <c r="F26" s="4" t="s">
        <v>69</v>
      </c>
      <c r="G26" s="1">
        <v>38.5625</v>
      </c>
      <c r="I26" s="4" t="s">
        <v>69</v>
      </c>
      <c r="J26" s="1">
        <v>8</v>
      </c>
    </row>
    <row r="27" spans="1:10" x14ac:dyDescent="0.3">
      <c r="C27" s="4" t="s">
        <v>70</v>
      </c>
      <c r="D27" s="15">
        <v>22</v>
      </c>
      <c r="F27" s="4" t="s">
        <v>70</v>
      </c>
      <c r="G27" s="1">
        <v>42.727272727272727</v>
      </c>
      <c r="I27" s="4" t="s">
        <v>70</v>
      </c>
      <c r="J27" s="1">
        <v>4.3636363636363633</v>
      </c>
    </row>
    <row r="28" spans="1:10" x14ac:dyDescent="0.3">
      <c r="C28" s="4" t="s">
        <v>71</v>
      </c>
      <c r="D28" s="15">
        <v>12</v>
      </c>
      <c r="F28" s="4" t="s">
        <v>71</v>
      </c>
      <c r="G28" s="1">
        <v>37.416666666666664</v>
      </c>
      <c r="I28" s="4" t="s">
        <v>71</v>
      </c>
      <c r="J28" s="1">
        <v>0</v>
      </c>
    </row>
    <row r="29" spans="1:10" x14ac:dyDescent="0.3">
      <c r="C29" s="4" t="s">
        <v>72</v>
      </c>
      <c r="D29" s="15">
        <v>20</v>
      </c>
      <c r="F29" s="4" t="s">
        <v>72</v>
      </c>
      <c r="G29" s="1">
        <v>32.450000000000003</v>
      </c>
      <c r="I29" s="4" t="s">
        <v>72</v>
      </c>
      <c r="J29" s="1">
        <v>10</v>
      </c>
    </row>
    <row r="30" spans="1:10" x14ac:dyDescent="0.3">
      <c r="C30" s="4" t="s">
        <v>73</v>
      </c>
      <c r="D30" s="15">
        <v>18</v>
      </c>
      <c r="F30" s="4" t="s">
        <v>73</v>
      </c>
      <c r="G30" s="1">
        <v>40.055555555555557</v>
      </c>
      <c r="I30" s="4" t="s">
        <v>74</v>
      </c>
      <c r="J30" s="1">
        <v>6.75</v>
      </c>
    </row>
    <row r="31" spans="1:10" x14ac:dyDescent="0.3">
      <c r="C31" s="4" t="s">
        <v>74</v>
      </c>
      <c r="D31" s="15">
        <v>18</v>
      </c>
      <c r="F31" s="4" t="s">
        <v>74</v>
      </c>
      <c r="G31" s="1">
        <v>31.666666666666668</v>
      </c>
      <c r="I31" s="4" t="s">
        <v>75</v>
      </c>
      <c r="J31" s="1">
        <v>7</v>
      </c>
    </row>
    <row r="32" spans="1:10" x14ac:dyDescent="0.3">
      <c r="C32" s="4" t="s">
        <v>75</v>
      </c>
      <c r="D32" s="15">
        <v>13</v>
      </c>
      <c r="F32" s="4" t="s">
        <v>75</v>
      </c>
      <c r="G32" s="1">
        <v>39.769230769230766</v>
      </c>
      <c r="I32" s="4" t="s">
        <v>76</v>
      </c>
      <c r="J32" s="1">
        <v>3.3333333333333335</v>
      </c>
    </row>
    <row r="33" spans="1:10" x14ac:dyDescent="0.3">
      <c r="C33" s="4" t="s">
        <v>76</v>
      </c>
      <c r="D33" s="15">
        <v>15</v>
      </c>
      <c r="F33" s="4" t="s">
        <v>76</v>
      </c>
      <c r="G33" s="1">
        <v>36.733333333333334</v>
      </c>
      <c r="I33" s="4" t="s">
        <v>5</v>
      </c>
      <c r="J33" s="1">
        <v>4.7154471544715451</v>
      </c>
    </row>
    <row r="34" spans="1:10" x14ac:dyDescent="0.3">
      <c r="C34" s="4" t="s">
        <v>5</v>
      </c>
      <c r="D34" s="15">
        <v>431</v>
      </c>
      <c r="F34" s="4" t="s">
        <v>5</v>
      </c>
      <c r="G34" s="1">
        <v>36.670533642691417</v>
      </c>
    </row>
    <row r="39" spans="1:10" x14ac:dyDescent="0.3">
      <c r="A39" s="3" t="s">
        <v>4</v>
      </c>
      <c r="B39" t="s">
        <v>13</v>
      </c>
      <c r="C39" t="s">
        <v>16</v>
      </c>
    </row>
    <row r="40" spans="1:10" x14ac:dyDescent="0.3">
      <c r="A40" s="4" t="s">
        <v>14</v>
      </c>
      <c r="B40" s="1">
        <v>224</v>
      </c>
      <c r="C40" s="7">
        <v>0.51972157772621808</v>
      </c>
    </row>
    <row r="41" spans="1:10" x14ac:dyDescent="0.3">
      <c r="A41" s="4" t="s">
        <v>15</v>
      </c>
      <c r="B41" s="1">
        <v>207</v>
      </c>
      <c r="C41" s="7">
        <v>0.48027842227378192</v>
      </c>
    </row>
    <row r="42" spans="1:10" x14ac:dyDescent="0.3">
      <c r="A42" s="4" t="s">
        <v>5</v>
      </c>
      <c r="B42" s="1">
        <v>431</v>
      </c>
      <c r="C42" s="7">
        <v>1</v>
      </c>
    </row>
    <row r="45" spans="1:10" x14ac:dyDescent="0.3">
      <c r="A45" s="8" t="s">
        <v>17</v>
      </c>
      <c r="B45" s="9" t="s">
        <v>18</v>
      </c>
      <c r="C45" s="9" t="s">
        <v>19</v>
      </c>
      <c r="D45" s="9"/>
    </row>
    <row r="46" spans="1:10" ht="24" customHeight="1" x14ac:dyDescent="0.3">
      <c r="A46" s="11" t="str">
        <f>A41</f>
        <v>Not admitted</v>
      </c>
      <c r="B46" s="11">
        <f>B41</f>
        <v>207</v>
      </c>
      <c r="C46" s="12">
        <f>C41</f>
        <v>0.48027842227378192</v>
      </c>
      <c r="D46" s="10"/>
    </row>
    <row r="47" spans="1:10" ht="33.6" customHeight="1" x14ac:dyDescent="0.3">
      <c r="A47" s="11" t="str">
        <f>A40</f>
        <v>Admitted</v>
      </c>
      <c r="B47" s="11">
        <f>B40</f>
        <v>224</v>
      </c>
      <c r="C47" s="12">
        <f>C40</f>
        <v>0.51972157772621808</v>
      </c>
      <c r="D47" s="10"/>
    </row>
    <row r="49" spans="1:2" x14ac:dyDescent="0.3">
      <c r="A49" t="s">
        <v>29</v>
      </c>
    </row>
    <row r="50" spans="1:2" x14ac:dyDescent="0.3">
      <c r="A50" s="3" t="s">
        <v>4</v>
      </c>
      <c r="B50" t="s">
        <v>28</v>
      </c>
    </row>
    <row r="51" spans="1:2" x14ac:dyDescent="0.3">
      <c r="A51" s="4" t="s">
        <v>20</v>
      </c>
      <c r="B51" s="1">
        <v>42</v>
      </c>
    </row>
    <row r="52" spans="1:2" x14ac:dyDescent="0.3">
      <c r="A52" s="4" t="s">
        <v>21</v>
      </c>
      <c r="B52" s="1">
        <v>46</v>
      </c>
    </row>
    <row r="53" spans="1:2" x14ac:dyDescent="0.3">
      <c r="A53" s="4" t="s">
        <v>22</v>
      </c>
      <c r="B53" s="1">
        <v>54</v>
      </c>
    </row>
    <row r="54" spans="1:2" x14ac:dyDescent="0.3">
      <c r="A54" s="4" t="s">
        <v>23</v>
      </c>
      <c r="B54" s="1">
        <v>68</v>
      </c>
    </row>
    <row r="55" spans="1:2" x14ac:dyDescent="0.3">
      <c r="A55" s="4" t="s">
        <v>24</v>
      </c>
      <c r="B55" s="1">
        <v>62</v>
      </c>
    </row>
    <row r="56" spans="1:2" x14ac:dyDescent="0.3">
      <c r="A56" s="4" t="s">
        <v>25</v>
      </c>
      <c r="B56" s="1">
        <v>52</v>
      </c>
    </row>
    <row r="57" spans="1:2" x14ac:dyDescent="0.3">
      <c r="A57" s="4" t="s">
        <v>26</v>
      </c>
      <c r="B57" s="1">
        <v>54</v>
      </c>
    </row>
    <row r="58" spans="1:2" x14ac:dyDescent="0.3">
      <c r="A58" s="4" t="s">
        <v>27</v>
      </c>
      <c r="B58" s="1">
        <v>53</v>
      </c>
    </row>
    <row r="59" spans="1:2" x14ac:dyDescent="0.3">
      <c r="A59" s="4" t="s">
        <v>5</v>
      </c>
      <c r="B59" s="1">
        <v>431</v>
      </c>
    </row>
    <row r="62" spans="1:2" x14ac:dyDescent="0.3">
      <c r="A62" s="4" t="s">
        <v>33</v>
      </c>
    </row>
    <row r="63" spans="1:2" x14ac:dyDescent="0.3">
      <c r="A63" s="3" t="s">
        <v>4</v>
      </c>
      <c r="B63" t="s">
        <v>32</v>
      </c>
    </row>
    <row r="64" spans="1:2" x14ac:dyDescent="0.3">
      <c r="A64" s="4" t="s">
        <v>31</v>
      </c>
      <c r="B64" s="1">
        <v>283</v>
      </c>
    </row>
    <row r="65" spans="1:2" x14ac:dyDescent="0.3">
      <c r="A65" s="4" t="s">
        <v>30</v>
      </c>
      <c r="B65" s="1">
        <v>148</v>
      </c>
    </row>
    <row r="66" spans="1:2" x14ac:dyDescent="0.3">
      <c r="A66" s="4" t="s">
        <v>5</v>
      </c>
      <c r="B66" s="1">
        <v>431</v>
      </c>
    </row>
    <row r="69" spans="1:2" x14ac:dyDescent="0.3">
      <c r="A69" s="4" t="s">
        <v>37</v>
      </c>
    </row>
    <row r="70" spans="1:2" x14ac:dyDescent="0.3">
      <c r="A70" s="3" t="s">
        <v>4</v>
      </c>
      <c r="B70" t="s">
        <v>36</v>
      </c>
    </row>
    <row r="71" spans="1:2" x14ac:dyDescent="0.3">
      <c r="A71" s="4" t="s">
        <v>34</v>
      </c>
      <c r="B71" s="1">
        <v>194</v>
      </c>
    </row>
    <row r="72" spans="1:2" x14ac:dyDescent="0.3">
      <c r="A72" s="4" t="s">
        <v>35</v>
      </c>
      <c r="B72" s="1">
        <v>237</v>
      </c>
    </row>
    <row r="73" spans="1:2" x14ac:dyDescent="0.3">
      <c r="A73" s="4" t="s">
        <v>5</v>
      </c>
      <c r="B73" s="1">
        <v>431</v>
      </c>
    </row>
    <row r="77" spans="1:2" x14ac:dyDescent="0.3">
      <c r="A77" s="3" t="s">
        <v>4</v>
      </c>
      <c r="B77" t="s">
        <v>46</v>
      </c>
    </row>
    <row r="78" spans="1:2" x14ac:dyDescent="0.3">
      <c r="A78" s="4" t="s">
        <v>41</v>
      </c>
      <c r="B78" s="13">
        <v>6</v>
      </c>
    </row>
    <row r="79" spans="1:2" x14ac:dyDescent="0.3">
      <c r="A79" s="4" t="s">
        <v>39</v>
      </c>
      <c r="B79" s="13">
        <v>6</v>
      </c>
    </row>
    <row r="80" spans="1:2" x14ac:dyDescent="0.3">
      <c r="A80" s="4" t="s">
        <v>45</v>
      </c>
      <c r="B80" s="13">
        <v>6</v>
      </c>
    </row>
    <row r="81" spans="1:2" x14ac:dyDescent="0.3">
      <c r="A81" s="4" t="s">
        <v>38</v>
      </c>
      <c r="B81" s="13">
        <v>12</v>
      </c>
    </row>
    <row r="82" spans="1:2" x14ac:dyDescent="0.3">
      <c r="A82" s="4" t="s">
        <v>44</v>
      </c>
      <c r="B82" s="13">
        <v>14</v>
      </c>
    </row>
    <row r="83" spans="1:2" x14ac:dyDescent="0.3">
      <c r="A83" s="4" t="s">
        <v>43</v>
      </c>
      <c r="B83" s="13">
        <v>46</v>
      </c>
    </row>
    <row r="84" spans="1:2" x14ac:dyDescent="0.3">
      <c r="A84" s="4" t="s">
        <v>40</v>
      </c>
      <c r="B84" s="13">
        <v>89</v>
      </c>
    </row>
    <row r="85" spans="1:2" x14ac:dyDescent="0.3">
      <c r="A85" s="4" t="s">
        <v>42</v>
      </c>
      <c r="B85" s="13">
        <v>252</v>
      </c>
    </row>
    <row r="86" spans="1:2" x14ac:dyDescent="0.3">
      <c r="A86" s="4" t="s">
        <v>5</v>
      </c>
      <c r="B86" s="1">
        <v>431</v>
      </c>
    </row>
    <row r="92" spans="1:2" x14ac:dyDescent="0.3">
      <c r="A92" s="3" t="s">
        <v>4</v>
      </c>
    </row>
    <row r="93" spans="1:2" x14ac:dyDescent="0.3">
      <c r="A93" s="4" t="s">
        <v>47</v>
      </c>
    </row>
    <row r="94" spans="1:2" x14ac:dyDescent="0.3">
      <c r="A94"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EE09-3AFC-46A9-AFAF-3E7DE9841167}">
  <dimension ref="A1:N25"/>
  <sheetViews>
    <sheetView tabSelected="1" zoomScaleNormal="100" workbookViewId="0">
      <selection activeCell="Q7" sqref="Q7"/>
    </sheetView>
  </sheetViews>
  <sheetFormatPr defaultRowHeight="14.4" x14ac:dyDescent="0.3"/>
  <sheetData>
    <row r="1" spans="1:14" x14ac:dyDescent="0.3">
      <c r="A1" s="2"/>
      <c r="B1" s="2"/>
      <c r="C1" s="2"/>
      <c r="D1" s="2"/>
      <c r="E1" s="2"/>
      <c r="F1" s="2"/>
      <c r="G1" s="2"/>
      <c r="H1" s="2"/>
      <c r="I1" s="2"/>
      <c r="J1" s="2"/>
      <c r="K1" s="2"/>
      <c r="L1" s="2"/>
      <c r="M1" s="2"/>
      <c r="N1" s="2"/>
    </row>
    <row r="2" spans="1:14" x14ac:dyDescent="0.3">
      <c r="A2" s="2"/>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x14ac:dyDescent="0.3">
      <c r="A4" s="2"/>
      <c r="B4" s="2"/>
      <c r="C4" s="2"/>
      <c r="D4" s="2"/>
      <c r="E4" s="2"/>
      <c r="F4" s="2"/>
      <c r="G4" s="2"/>
      <c r="H4" s="2"/>
      <c r="I4" s="2"/>
      <c r="J4" s="2"/>
      <c r="K4" s="2"/>
      <c r="L4" s="2"/>
      <c r="M4" s="2"/>
      <c r="N4" s="2"/>
    </row>
    <row r="5" spans="1:14" x14ac:dyDescent="0.3">
      <c r="A5" s="2"/>
      <c r="B5" s="2"/>
      <c r="C5" s="2"/>
      <c r="D5" s="2"/>
      <c r="E5" s="2"/>
      <c r="F5" s="2"/>
      <c r="G5" s="2"/>
      <c r="H5" s="2"/>
      <c r="I5" s="2"/>
      <c r="J5" s="2"/>
      <c r="K5" s="2"/>
      <c r="L5" s="2"/>
      <c r="M5" s="2"/>
      <c r="N5" s="2"/>
    </row>
    <row r="6" spans="1:14" x14ac:dyDescent="0.3">
      <c r="A6" s="2"/>
      <c r="B6" s="2"/>
      <c r="C6" s="2"/>
      <c r="D6" s="2"/>
      <c r="E6" s="2"/>
      <c r="F6" s="2"/>
      <c r="G6" s="2"/>
      <c r="H6" s="2"/>
      <c r="I6" s="2"/>
      <c r="J6" s="2"/>
      <c r="K6" s="2"/>
      <c r="L6" s="2"/>
      <c r="M6" s="2"/>
      <c r="N6" s="2"/>
    </row>
    <row r="7" spans="1:14" x14ac:dyDescent="0.3">
      <c r="A7" s="2"/>
      <c r="B7" s="2"/>
      <c r="C7" s="2"/>
      <c r="D7" s="2"/>
      <c r="E7" s="2"/>
      <c r="F7" s="2"/>
      <c r="G7" s="2"/>
      <c r="H7" s="2"/>
      <c r="I7" s="2"/>
      <c r="J7" s="2"/>
      <c r="K7" s="2"/>
      <c r="L7" s="2"/>
      <c r="M7" s="2"/>
      <c r="N7" s="2"/>
    </row>
    <row r="8" spans="1:14" x14ac:dyDescent="0.3">
      <c r="A8" s="2"/>
      <c r="B8" s="2"/>
      <c r="C8" s="2"/>
      <c r="D8" s="2"/>
      <c r="E8" s="2"/>
      <c r="F8" s="2"/>
      <c r="G8" s="2"/>
      <c r="H8" s="2"/>
      <c r="I8" s="2"/>
      <c r="J8" s="2"/>
      <c r="K8" s="2"/>
      <c r="L8" s="2"/>
      <c r="M8" s="2"/>
      <c r="N8" s="2"/>
    </row>
    <row r="9" spans="1:14" x14ac:dyDescent="0.3">
      <c r="A9" s="2"/>
      <c r="B9" s="2"/>
      <c r="C9" s="2"/>
      <c r="D9" s="2"/>
      <c r="E9" s="2"/>
      <c r="F9" s="2"/>
      <c r="G9" s="2"/>
      <c r="H9" s="2"/>
      <c r="I9" s="2"/>
      <c r="J9" s="2"/>
      <c r="K9" s="2"/>
      <c r="L9" s="2"/>
      <c r="M9" s="2"/>
      <c r="N9" s="2"/>
    </row>
    <row r="10" spans="1:14" x14ac:dyDescent="0.3">
      <c r="A10" s="2"/>
      <c r="B10" s="2"/>
      <c r="C10" s="2"/>
      <c r="D10" s="2"/>
      <c r="E10" s="2"/>
      <c r="F10" s="2"/>
      <c r="G10" s="2"/>
      <c r="H10" s="2"/>
      <c r="I10" s="2"/>
      <c r="J10" s="2"/>
      <c r="K10" s="2"/>
      <c r="L10" s="2"/>
      <c r="M10" s="2"/>
      <c r="N10" s="2"/>
    </row>
    <row r="11" spans="1:14" x14ac:dyDescent="0.3">
      <c r="A11" s="2"/>
      <c r="B11" s="2"/>
      <c r="C11" s="2"/>
      <c r="D11" s="2"/>
      <c r="E11" s="2"/>
      <c r="F11" s="2"/>
      <c r="G11" s="2"/>
      <c r="H11" s="2"/>
      <c r="I11" s="2"/>
      <c r="J11" s="2"/>
      <c r="K11" s="2"/>
      <c r="L11" s="2"/>
      <c r="M11" s="2"/>
      <c r="N11" s="2"/>
    </row>
    <row r="12" spans="1:14" x14ac:dyDescent="0.3">
      <c r="A12" s="2"/>
      <c r="B12" s="2"/>
      <c r="C12" s="2"/>
      <c r="D12" s="2"/>
      <c r="E12" s="2"/>
      <c r="F12" s="2"/>
      <c r="G12" s="2"/>
      <c r="H12" s="2"/>
      <c r="I12" s="2"/>
      <c r="J12" s="2"/>
      <c r="K12" s="2"/>
      <c r="L12" s="2"/>
      <c r="M12" s="2"/>
      <c r="N12" s="2"/>
    </row>
    <row r="13" spans="1:14" x14ac:dyDescent="0.3">
      <c r="A13" s="2"/>
      <c r="B13" s="2"/>
      <c r="C13" s="2"/>
      <c r="D13" s="2"/>
      <c r="E13" s="2"/>
      <c r="F13" s="2"/>
      <c r="G13" s="2"/>
      <c r="H13" s="2"/>
      <c r="I13" s="2"/>
      <c r="J13" s="2"/>
      <c r="K13" s="2"/>
      <c r="L13" s="2"/>
      <c r="M13" s="2"/>
      <c r="N13" s="2"/>
    </row>
    <row r="14" spans="1:14" x14ac:dyDescent="0.3">
      <c r="A14" s="2"/>
      <c r="B14" s="2"/>
      <c r="C14" s="2"/>
      <c r="D14" s="2"/>
      <c r="E14" s="2"/>
      <c r="F14" s="2"/>
      <c r="G14" s="2"/>
      <c r="H14" s="2"/>
      <c r="I14" s="2"/>
      <c r="J14" s="2"/>
      <c r="K14" s="2"/>
      <c r="L14" s="2"/>
      <c r="M14" s="2"/>
      <c r="N14" s="2"/>
    </row>
    <row r="15" spans="1:14" x14ac:dyDescent="0.3">
      <c r="A15" s="2"/>
      <c r="B15" s="2"/>
      <c r="C15" s="2"/>
      <c r="D15" s="2"/>
      <c r="E15" s="2"/>
      <c r="F15" s="2"/>
      <c r="G15" s="2"/>
      <c r="H15" s="2"/>
      <c r="I15" s="2"/>
      <c r="J15" s="2"/>
      <c r="K15" s="2"/>
      <c r="L15" s="2"/>
      <c r="M15" s="2"/>
      <c r="N15" s="2"/>
    </row>
    <row r="16" spans="1:14" x14ac:dyDescent="0.3">
      <c r="A16" s="2"/>
      <c r="B16" s="2"/>
      <c r="C16" s="2"/>
      <c r="D16" s="2"/>
      <c r="E16" s="2"/>
      <c r="F16" s="2"/>
      <c r="G16" s="2"/>
      <c r="H16" s="2"/>
      <c r="I16" s="2"/>
      <c r="J16" s="2"/>
      <c r="K16" s="2"/>
      <c r="L16" s="2"/>
      <c r="M16" s="2"/>
      <c r="N16" s="2"/>
    </row>
    <row r="17" spans="1:14" x14ac:dyDescent="0.3">
      <c r="A17" s="2"/>
      <c r="B17" s="2"/>
      <c r="C17" s="2"/>
      <c r="D17" s="2"/>
      <c r="E17" s="2"/>
      <c r="F17" s="2"/>
      <c r="G17" s="2"/>
      <c r="H17" s="2"/>
      <c r="I17" s="2"/>
      <c r="J17" s="2"/>
      <c r="K17" s="2"/>
      <c r="L17" s="2"/>
      <c r="M17" s="2"/>
      <c r="N17" s="2"/>
    </row>
    <row r="18" spans="1:14" x14ac:dyDescent="0.3">
      <c r="A18" s="2"/>
      <c r="B18" s="2"/>
      <c r="C18" s="2"/>
      <c r="D18" s="2"/>
      <c r="E18" s="2"/>
      <c r="F18" s="2"/>
      <c r="G18" s="2"/>
      <c r="H18" s="2"/>
      <c r="I18" s="2"/>
      <c r="J18" s="2"/>
      <c r="K18" s="2"/>
      <c r="L18" s="2"/>
      <c r="M18" s="2"/>
      <c r="N18" s="2"/>
    </row>
    <row r="19" spans="1:14" x14ac:dyDescent="0.3">
      <c r="A19" s="2"/>
      <c r="B19" s="2"/>
      <c r="C19" s="2"/>
      <c r="D19" s="2"/>
      <c r="E19" s="2"/>
      <c r="F19" s="2"/>
      <c r="G19" s="2"/>
      <c r="H19" s="2"/>
      <c r="I19" s="2"/>
      <c r="J19" s="2"/>
      <c r="K19" s="2"/>
      <c r="L19" s="2"/>
      <c r="M19" s="2"/>
      <c r="N19" s="2"/>
    </row>
    <row r="20" spans="1:14" x14ac:dyDescent="0.3">
      <c r="A20" s="2"/>
      <c r="B20" s="2"/>
      <c r="C20" s="2"/>
      <c r="D20" s="2"/>
      <c r="E20" s="2"/>
      <c r="F20" s="2"/>
      <c r="G20" s="2"/>
      <c r="H20" s="2"/>
      <c r="I20" s="2"/>
      <c r="J20" s="2"/>
      <c r="K20" s="2"/>
      <c r="L20" s="2"/>
      <c r="M20" s="2"/>
      <c r="N20" s="2"/>
    </row>
    <row r="21" spans="1:14" x14ac:dyDescent="0.3">
      <c r="A21" s="2"/>
      <c r="B21" s="2"/>
      <c r="C21" s="2"/>
      <c r="D21" s="2"/>
      <c r="E21" s="2"/>
      <c r="F21" s="2"/>
      <c r="G21" s="2"/>
      <c r="H21" s="2"/>
      <c r="I21" s="2"/>
      <c r="J21" s="2"/>
      <c r="K21" s="2"/>
      <c r="L21" s="2"/>
      <c r="M21" s="2"/>
      <c r="N21" s="2"/>
    </row>
    <row r="22" spans="1:14" x14ac:dyDescent="0.3">
      <c r="A22" s="2"/>
      <c r="B22" s="2"/>
      <c r="C22" s="2"/>
      <c r="D22" s="2"/>
      <c r="E22" s="2"/>
      <c r="F22" s="2"/>
      <c r="G22" s="2"/>
      <c r="H22" s="2"/>
      <c r="I22" s="2"/>
      <c r="J22" s="2"/>
      <c r="K22" s="2"/>
      <c r="L22" s="2"/>
      <c r="M22" s="2"/>
      <c r="N22" s="2"/>
    </row>
    <row r="23" spans="1:14" x14ac:dyDescent="0.3">
      <c r="A23" s="2"/>
      <c r="B23" s="2"/>
      <c r="C23" s="2"/>
      <c r="D23" s="2"/>
      <c r="E23" s="2"/>
      <c r="F23" s="2"/>
      <c r="G23" s="2"/>
      <c r="H23" s="2"/>
      <c r="I23" s="2"/>
      <c r="J23" s="2"/>
      <c r="K23" s="2"/>
      <c r="L23" s="2"/>
      <c r="M23" s="2"/>
      <c r="N23" s="2"/>
    </row>
    <row r="24" spans="1:14" x14ac:dyDescent="0.3">
      <c r="A24" s="2"/>
      <c r="B24" s="2"/>
      <c r="C24" s="2"/>
      <c r="D24" s="2"/>
      <c r="E24" s="2"/>
      <c r="F24" s="2"/>
      <c r="G24" s="2"/>
      <c r="H24" s="2"/>
      <c r="I24" s="2"/>
      <c r="J24" s="2"/>
      <c r="K24" s="2"/>
      <c r="L24" s="2"/>
      <c r="M24" s="2"/>
      <c r="N24" s="2"/>
    </row>
    <row r="25" spans="1:14" x14ac:dyDescent="0.3">
      <c r="A25" s="2"/>
      <c r="B25" s="2"/>
      <c r="C25" s="2"/>
      <c r="D25" s="2"/>
      <c r="E25" s="2"/>
      <c r="F25" s="2"/>
      <c r="G25" s="2"/>
      <c r="H25" s="2"/>
      <c r="I25" s="2"/>
      <c r="J25" s="2"/>
      <c r="K25" s="2"/>
      <c r="L25" s="2"/>
      <c r="M25" s="2"/>
      <c r="N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CBE8-44AA-4AE6-922D-8569AC9A9D4A}">
  <dimension ref="A15:I15"/>
  <sheetViews>
    <sheetView workbookViewId="0">
      <selection activeCell="A3" sqref="A3"/>
    </sheetView>
  </sheetViews>
  <sheetFormatPr defaultRowHeight="14.4" x14ac:dyDescent="0.3"/>
  <sheetData>
    <row r="15" spans="1:9" x14ac:dyDescent="0.3">
      <c r="A15" s="14" t="s">
        <v>8</v>
      </c>
      <c r="B15" s="14"/>
      <c r="C15" s="14"/>
      <c r="D15" s="14"/>
      <c r="E15" s="14"/>
      <c r="F15" s="14"/>
      <c r="G15" s="14"/>
      <c r="H15" s="14"/>
      <c r="I15" s="14"/>
    </row>
  </sheetData>
  <mergeCells count="1">
    <mergeCell ref="A15:I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DE41-2FEF-400E-BE1A-8A3500A736F4}">
  <dimension ref="A1:K14"/>
  <sheetViews>
    <sheetView workbookViewId="0">
      <selection activeCell="B20" sqref="B20"/>
    </sheetView>
  </sheetViews>
  <sheetFormatPr defaultRowHeight="14.4" x14ac:dyDescent="0.3"/>
  <sheetData>
    <row r="1" spans="1:11" x14ac:dyDescent="0.3">
      <c r="A1" s="5" t="s">
        <v>10</v>
      </c>
    </row>
    <row r="14" spans="1:11" x14ac:dyDescent="0.3">
      <c r="A14" s="14" t="s">
        <v>9</v>
      </c>
      <c r="B14" s="14"/>
      <c r="C14" s="14"/>
      <c r="D14" s="14"/>
      <c r="E14" s="14"/>
      <c r="F14" s="14"/>
      <c r="G14" s="14"/>
      <c r="H14" s="14"/>
      <c r="I14" s="14"/>
      <c r="J14" s="14"/>
      <c r="K14" s="14"/>
    </row>
  </sheetData>
  <mergeCells count="1">
    <mergeCell ref="A14:K14"/>
  </mergeCells>
  <hyperlinks>
    <hyperlink ref="A1" location="Dashboard!A1" display="Dashboard!A1" xr:uid="{D028DBFC-1196-448F-9332-084EECE17C24}"/>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FF96-39FE-4152-94F0-0B75FF760C5A}">
  <dimension ref="A17:I17"/>
  <sheetViews>
    <sheetView workbookViewId="0"/>
  </sheetViews>
  <sheetFormatPr defaultRowHeight="14.4" x14ac:dyDescent="0.3"/>
  <sheetData>
    <row r="17" spans="1:9" x14ac:dyDescent="0.3">
      <c r="A17" s="14" t="s">
        <v>12</v>
      </c>
      <c r="B17" s="14"/>
      <c r="C17" s="14"/>
      <c r="D17" s="14"/>
      <c r="E17" s="14"/>
      <c r="F17" s="14"/>
      <c r="G17" s="14"/>
      <c r="H17" s="14"/>
      <c r="I17" s="14"/>
    </row>
  </sheetData>
  <mergeCells count="1">
    <mergeCell ref="A17:I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7DC446D-E494-4DFD-B457-0AD3FC741F8C}">
  <ds:schemaRefs/>
</ds:datastoreItem>
</file>

<file path=customXml/itemProps2.xml><?xml version="1.0" encoding="utf-8"?>
<ds:datastoreItem xmlns:ds="http://schemas.openxmlformats.org/officeDocument/2006/customXml" ds:itemID="{BB74AB6C-4BC8-4772-B628-54BAEE191736}">
  <ds:schemaRefs/>
</ds:datastoreItem>
</file>

<file path=customXml/itemProps3.xml><?xml version="1.0" encoding="utf-8"?>
<ds:datastoreItem xmlns:ds="http://schemas.openxmlformats.org/officeDocument/2006/customXml" ds:itemID="{9D542535-2EFA-4114-B891-71B13B968558}">
  <ds:schemaRefs>
    <ds:schemaRef ds:uri="http://schemas.microsoft.com/DataMashup"/>
  </ds:schemaRefs>
</ds:datastoreItem>
</file>

<file path=customXml/itemProps4.xml><?xml version="1.0" encoding="utf-8"?>
<ds:datastoreItem xmlns:ds="http://schemas.openxmlformats.org/officeDocument/2006/customXml" ds:itemID="{1E65EFC4-2A98-463B-82AB-E73217D4BAE2}">
  <ds:schemaRefs/>
</ds:datastoreItem>
</file>

<file path=customXml/itemProps5.xml><?xml version="1.0" encoding="utf-8"?>
<ds:datastoreItem xmlns:ds="http://schemas.openxmlformats.org/officeDocument/2006/customXml" ds:itemID="{2B909DA6-8804-4F83-B1EF-9EA36C083B77}">
  <ds:schemaRefs/>
</ds:datastoreItem>
</file>

<file path=customXml/itemProps6.xml><?xml version="1.0" encoding="utf-8"?>
<ds:datastoreItem xmlns:ds="http://schemas.openxmlformats.org/officeDocument/2006/customXml" ds:itemID="{078B1EB7-0D98-4A39-BF4C-5B3D4F34E5D1}">
  <ds:schemaRefs/>
</ds:datastoreItem>
</file>

<file path=customXml/itemProps7.xml><?xml version="1.0" encoding="utf-8"?>
<ds:datastoreItem xmlns:ds="http://schemas.openxmlformats.org/officeDocument/2006/customXml" ds:itemID="{FB54BC07-BDA4-4A27-8E8A-57C3F45F3C4F}">
  <ds:schemaRefs/>
</ds:datastoreItem>
</file>

<file path=customXml/itemProps8.xml><?xml version="1.0" encoding="utf-8"?>
<ds:datastoreItem xmlns:ds="http://schemas.openxmlformats.org/officeDocument/2006/customXml" ds:itemID="{1F9BC123-3365-4842-B5CD-094907086C35}">
  <ds:schemaRefs/>
</ds:datastoreItem>
</file>

<file path=customXml/itemProps9.xml><?xml version="1.0" encoding="utf-8"?>
<ds:datastoreItem xmlns:ds="http://schemas.openxmlformats.org/officeDocument/2006/customXml" ds:itemID="{4DC92F5C-CB4C-41CB-96FE-C8F150EC619E}">
  <ds:schemaRefs/>
</ds:datastoreItem>
</file>

<file path=customXml/itemProps10.xml><?xml version="1.0" encoding="utf-8"?>
<ds:datastoreItem xmlns:ds="http://schemas.openxmlformats.org/officeDocument/2006/customXml" ds:itemID="{0FF11D83-41C9-4EC0-B447-0411E3BF3482}">
  <ds:schemaRefs/>
</ds:datastoreItem>
</file>

<file path=customXml/itemProps11.xml><?xml version="1.0" encoding="utf-8"?>
<ds:datastoreItem xmlns:ds="http://schemas.openxmlformats.org/officeDocument/2006/customXml" ds:itemID="{00E996BF-C30C-48BF-900E-0D1636D74FA9}">
  <ds:schemaRefs/>
</ds:datastoreItem>
</file>

<file path=customXml/itemProps12.xml><?xml version="1.0" encoding="utf-8"?>
<ds:datastoreItem xmlns:ds="http://schemas.openxmlformats.org/officeDocument/2006/customXml" ds:itemID="{3488F778-3CC2-48D7-A4DC-CE8029B80964}">
  <ds:schemaRefs/>
</ds:datastoreItem>
</file>

<file path=customXml/itemProps13.xml><?xml version="1.0" encoding="utf-8"?>
<ds:datastoreItem xmlns:ds="http://schemas.openxmlformats.org/officeDocument/2006/customXml" ds:itemID="{E3F535B6-CC5E-4E5F-90F9-03DC6C691E08}">
  <ds:schemaRefs/>
</ds:datastoreItem>
</file>

<file path=customXml/itemProps14.xml><?xml version="1.0" encoding="utf-8"?>
<ds:datastoreItem xmlns:ds="http://schemas.openxmlformats.org/officeDocument/2006/customXml" ds:itemID="{791EB4AD-DB17-4E6A-B7D4-EC9CF0C150DB}">
  <ds:schemaRefs/>
</ds:datastoreItem>
</file>

<file path=customXml/itemProps15.xml><?xml version="1.0" encoding="utf-8"?>
<ds:datastoreItem xmlns:ds="http://schemas.openxmlformats.org/officeDocument/2006/customXml" ds:itemID="{245303C2-2F18-437B-80A8-9AF2E1B80F74}">
  <ds:schemaRefs/>
</ds:datastoreItem>
</file>

<file path=customXml/itemProps16.xml><?xml version="1.0" encoding="utf-8"?>
<ds:datastoreItem xmlns:ds="http://schemas.openxmlformats.org/officeDocument/2006/customXml" ds:itemID="{CA8A3401-A8B8-49BE-89A8-6FEC11B6320F}">
  <ds:schemaRefs/>
</ds:datastoreItem>
</file>

<file path=customXml/itemProps17.xml><?xml version="1.0" encoding="utf-8"?>
<ds:datastoreItem xmlns:ds="http://schemas.openxmlformats.org/officeDocument/2006/customXml" ds:itemID="{71293755-AE13-4811-AA69-9F5B43EB98F1}">
  <ds:schemaRefs/>
</ds:datastoreItem>
</file>

<file path=customXml/itemProps18.xml><?xml version="1.0" encoding="utf-8"?>
<ds:datastoreItem xmlns:ds="http://schemas.openxmlformats.org/officeDocument/2006/customXml" ds:itemID="{CFCF9E13-51EE-488F-9425-D1C93B725B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vichitra reddy</dc:creator>
  <cp:lastModifiedBy>vichitra reddy</cp:lastModifiedBy>
  <dcterms:created xsi:type="dcterms:W3CDTF">2026-07-17T13:27:22Z</dcterms:created>
  <dcterms:modified xsi:type="dcterms:W3CDTF">2026-07-21T15:21:11Z</dcterms:modified>
</cp:coreProperties>
</file>